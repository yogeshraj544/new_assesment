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JARAMAN\Documents\"/>
    </mc:Choice>
  </mc:AlternateContent>
  <xr:revisionPtr revIDLastSave="0" documentId="13_ncr:1_{3F025CFE-E533-430E-926B-64C6AFB3B472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" i="20" l="1"/>
  <c r="B35" i="20"/>
  <c r="E35" i="20" s="1"/>
  <c r="D34" i="20"/>
  <c r="B34" i="20"/>
  <c r="E34" i="20" s="1"/>
  <c r="D33" i="20"/>
  <c r="B33" i="20"/>
  <c r="E33" i="20" s="1"/>
  <c r="D32" i="20"/>
  <c r="B32" i="20"/>
  <c r="E32" i="20" s="1"/>
  <c r="D31" i="20"/>
  <c r="B31" i="20"/>
  <c r="E31" i="20" s="1"/>
  <c r="D30" i="20"/>
  <c r="B30" i="20"/>
  <c r="E30" i="20" s="1"/>
  <c r="D29" i="20"/>
  <c r="B29" i="20"/>
  <c r="E29" i="20" s="1"/>
  <c r="D28" i="20"/>
  <c r="B28" i="20"/>
  <c r="E28" i="20" s="1"/>
  <c r="D27" i="20"/>
  <c r="B27" i="20"/>
  <c r="E27" i="20" s="1"/>
  <c r="D26" i="20"/>
  <c r="B26" i="20"/>
  <c r="E26" i="20" s="1"/>
  <c r="D25" i="20"/>
  <c r="B25" i="20"/>
  <c r="E25" i="20" s="1"/>
  <c r="D24" i="20"/>
  <c r="B24" i="20"/>
  <c r="E24" i="20" s="1"/>
  <c r="D23" i="20"/>
  <c r="B23" i="20"/>
  <c r="E23" i="20" s="1"/>
  <c r="Q12" i="20"/>
  <c r="Q13" i="20"/>
  <c r="R13" i="20" s="1"/>
  <c r="Q14" i="20"/>
  <c r="Q15" i="20"/>
  <c r="Q16" i="20"/>
  <c r="Q17" i="20"/>
  <c r="Q18" i="20"/>
  <c r="Q19" i="20"/>
  <c r="Q20" i="20"/>
  <c r="Q21" i="20"/>
  <c r="Q22" i="20"/>
  <c r="Q11" i="20"/>
  <c r="W10" i="20" s="1"/>
  <c r="Q10" i="20"/>
  <c r="O14" i="20"/>
  <c r="R14" i="20" s="1"/>
  <c r="O15" i="20"/>
  <c r="O16" i="20"/>
  <c r="O17" i="20"/>
  <c r="O18" i="20"/>
  <c r="R18" i="20" s="1"/>
  <c r="O19" i="20"/>
  <c r="O20" i="20"/>
  <c r="O21" i="20"/>
  <c r="O22" i="20"/>
  <c r="R22" i="20" s="1"/>
  <c r="O13" i="20"/>
  <c r="O12" i="20"/>
  <c r="O11" i="20"/>
  <c r="R11" i="20" s="1"/>
  <c r="O10" i="20"/>
  <c r="W9" i="20" s="1"/>
  <c r="C22" i="19"/>
  <c r="B7" i="18" a="1"/>
  <c r="B7" i="18" s="1"/>
  <c r="B8" i="18" a="1"/>
  <c r="B8" i="18"/>
  <c r="B9" i="18" a="1"/>
  <c r="B9" i="18" s="1"/>
  <c r="B10" i="18" a="1"/>
  <c r="B10" i="18" s="1"/>
  <c r="B11" i="18" a="1"/>
  <c r="B11" i="18" s="1"/>
  <c r="B12" i="18" a="1"/>
  <c r="B12" i="18" s="1"/>
  <c r="B13" i="18" a="1"/>
  <c r="B13" i="18" s="1"/>
  <c r="B14" i="18" a="1"/>
  <c r="B14" i="18" s="1"/>
  <c r="B15" i="18" a="1"/>
  <c r="B15" i="18" s="1"/>
  <c r="B16" i="18" a="1"/>
  <c r="B16" i="18" s="1"/>
  <c r="B17" i="18" a="1"/>
  <c r="B17" i="18" s="1"/>
  <c r="B18" i="18" a="1"/>
  <c r="B18" i="18" s="1"/>
  <c r="B19" i="18" a="1"/>
  <c r="B19" i="18" s="1"/>
  <c r="B20" i="18" a="1"/>
  <c r="B20" i="18" s="1"/>
  <c r="B21" i="18" a="1"/>
  <c r="B21" i="18" s="1"/>
  <c r="B22" i="18" a="1"/>
  <c r="B22" i="18" s="1"/>
  <c r="B23" i="18" a="1"/>
  <c r="B23" i="18" s="1"/>
  <c r="B24" i="18" a="1"/>
  <c r="B24" i="18" s="1"/>
  <c r="B25" i="18" a="1"/>
  <c r="B25" i="18" s="1"/>
  <c r="B26" i="18" a="1"/>
  <c r="B26" i="18" s="1"/>
  <c r="B27" i="18" a="1"/>
  <c r="B27" i="18" s="1"/>
  <c r="B6" i="18" a="1"/>
  <c r="B6" i="18" s="1"/>
  <c r="F6" i="18" a="1"/>
  <c r="F6" i="18" s="1"/>
  <c r="F30" i="18" s="1"/>
  <c r="F7" i="18" a="1"/>
  <c r="F7" i="18" s="1"/>
  <c r="F8" i="18" a="1"/>
  <c r="F8" i="18" s="1"/>
  <c r="F9" i="18" a="1"/>
  <c r="F9" i="18" s="1"/>
  <c r="F10" i="18" a="1"/>
  <c r="F10" i="18" s="1"/>
  <c r="F11" i="18" a="1"/>
  <c r="F11" i="18" s="1"/>
  <c r="F12" i="18" a="1"/>
  <c r="F12" i="18" s="1"/>
  <c r="F13" i="18" a="1"/>
  <c r="F13" i="18" s="1"/>
  <c r="F14" i="18" a="1"/>
  <c r="F14" i="18" s="1"/>
  <c r="F15" i="18" a="1"/>
  <c r="F15" i="18" s="1"/>
  <c r="F16" i="18" a="1"/>
  <c r="F16" i="18" s="1"/>
  <c r="F17" i="18" a="1"/>
  <c r="F17" i="18" s="1"/>
  <c r="F18" i="18" a="1"/>
  <c r="F18" i="18" s="1"/>
  <c r="F19" i="18" a="1"/>
  <c r="F19" i="18" s="1"/>
  <c r="F20" i="18" a="1"/>
  <c r="F20" i="18" s="1"/>
  <c r="F21" i="18" a="1"/>
  <c r="F21" i="18" s="1"/>
  <c r="F22" i="18" a="1"/>
  <c r="F22" i="18" s="1"/>
  <c r="F23" i="18" a="1"/>
  <c r="F23" i="18" s="1"/>
  <c r="F24" i="18" a="1"/>
  <c r="F24" i="18" s="1"/>
  <c r="F25" i="18" a="1"/>
  <c r="F25" i="18" s="1"/>
  <c r="F26" i="18" a="1"/>
  <c r="F26" i="18" s="1"/>
  <c r="F27" i="18" a="1"/>
  <c r="F27" i="18" s="1"/>
  <c r="E6" i="18" a="1"/>
  <c r="E6" i="18" s="1"/>
  <c r="E7" i="18" a="1"/>
  <c r="E7" i="18" s="1"/>
  <c r="E8" i="18" a="1"/>
  <c r="E8" i="18" s="1"/>
  <c r="E9" i="18" a="1"/>
  <c r="E9" i="18" s="1"/>
  <c r="E10" i="18" a="1"/>
  <c r="E10" i="18" s="1"/>
  <c r="E11" i="18" a="1"/>
  <c r="E11" i="18" s="1"/>
  <c r="E12" i="18" a="1"/>
  <c r="E12" i="18" s="1"/>
  <c r="E13" i="18" a="1"/>
  <c r="E13" i="18" s="1"/>
  <c r="E14" i="18" a="1"/>
  <c r="E14" i="18" s="1"/>
  <c r="E15" i="18" a="1"/>
  <c r="E15" i="18" s="1"/>
  <c r="E16" i="18" a="1"/>
  <c r="E16" i="18" s="1"/>
  <c r="E17" i="18" a="1"/>
  <c r="E17" i="18" s="1"/>
  <c r="E18" i="18" a="1"/>
  <c r="E18" i="18" s="1"/>
  <c r="E19" i="18" a="1"/>
  <c r="E19" i="18" s="1"/>
  <c r="E20" i="18" a="1"/>
  <c r="E20" i="18" s="1"/>
  <c r="E21" i="18" a="1"/>
  <c r="E21" i="18" s="1"/>
  <c r="E22" i="18" a="1"/>
  <c r="E22" i="18" s="1"/>
  <c r="E23" i="18" a="1"/>
  <c r="E23" i="18" s="1"/>
  <c r="E24" i="18" a="1"/>
  <c r="E24" i="18" s="1"/>
  <c r="E25" i="18" a="1"/>
  <c r="E25" i="18" s="1"/>
  <c r="E26" i="18" a="1"/>
  <c r="E26" i="18" s="1"/>
  <c r="E27" i="18" a="1"/>
  <c r="E27" i="18" s="1"/>
  <c r="D6" i="18" a="1"/>
  <c r="D6" i="18" s="1"/>
  <c r="D7" i="18" a="1"/>
  <c r="D7" i="18" s="1"/>
  <c r="D8" i="18" a="1"/>
  <c r="D8" i="18" s="1"/>
  <c r="D9" i="18" a="1"/>
  <c r="D9" i="18" s="1"/>
  <c r="D10" i="18" a="1"/>
  <c r="D10" i="18" s="1"/>
  <c r="D11" i="18" a="1"/>
  <c r="D11" i="18" s="1"/>
  <c r="D12" i="18" a="1"/>
  <c r="D12" i="18" s="1"/>
  <c r="D13" i="18" a="1"/>
  <c r="D13" i="18" s="1"/>
  <c r="D14" i="18" a="1"/>
  <c r="D14" i="18" s="1"/>
  <c r="D15" i="18" a="1"/>
  <c r="D15" i="18" s="1"/>
  <c r="D16" i="18" a="1"/>
  <c r="D16" i="18" s="1"/>
  <c r="D17" i="18" a="1"/>
  <c r="D17" i="18" s="1"/>
  <c r="D18" i="18" a="1"/>
  <c r="D18" i="18" s="1"/>
  <c r="D19" i="18" a="1"/>
  <c r="D19" i="18" s="1"/>
  <c r="D20" i="18" a="1"/>
  <c r="D20" i="18" s="1"/>
  <c r="D21" i="18" a="1"/>
  <c r="D21" i="18" s="1"/>
  <c r="D22" i="18" a="1"/>
  <c r="D22" i="18" s="1"/>
  <c r="D23" i="18" a="1"/>
  <c r="D23" i="18" s="1"/>
  <c r="D24" i="18" a="1"/>
  <c r="D24" i="18" s="1"/>
  <c r="D25" i="18" a="1"/>
  <c r="D25" i="18" s="1"/>
  <c r="D26" i="18" a="1"/>
  <c r="D26" i="18" s="1"/>
  <c r="D27" i="18" a="1"/>
  <c r="D27" i="18" s="1"/>
  <c r="C6" i="18" a="1"/>
  <c r="C6" i="18" s="1"/>
  <c r="C7" i="18" a="1"/>
  <c r="C7" i="18" s="1"/>
  <c r="C8" i="18" a="1"/>
  <c r="C8" i="18" s="1"/>
  <c r="C9" i="18" a="1"/>
  <c r="C9" i="18" s="1"/>
  <c r="C10" i="18" a="1"/>
  <c r="C10" i="18" s="1"/>
  <c r="C11" i="18" a="1"/>
  <c r="C11" i="18" s="1"/>
  <c r="C12" i="18" a="1"/>
  <c r="C12" i="18" s="1"/>
  <c r="C13" i="18" a="1"/>
  <c r="C13" i="18" s="1"/>
  <c r="C14" i="18" a="1"/>
  <c r="C14" i="18" s="1"/>
  <c r="C15" i="18" a="1"/>
  <c r="C15" i="18" s="1"/>
  <c r="C16" i="18" a="1"/>
  <c r="C16" i="18" s="1"/>
  <c r="C17" i="18" a="1"/>
  <c r="C17" i="18" s="1"/>
  <c r="C18" i="18" a="1"/>
  <c r="C18" i="18" s="1"/>
  <c r="C19" i="18" a="1"/>
  <c r="C19" i="18" s="1"/>
  <c r="C20" i="18" a="1"/>
  <c r="C20" i="18" s="1"/>
  <c r="C21" i="18" a="1"/>
  <c r="C21" i="18" s="1"/>
  <c r="C22" i="18" a="1"/>
  <c r="C22" i="18" s="1"/>
  <c r="C23" i="18" a="1"/>
  <c r="C23" i="18" s="1"/>
  <c r="C24" i="18" a="1"/>
  <c r="C24" i="18" s="1"/>
  <c r="C25" i="18" a="1"/>
  <c r="C25" i="18" s="1"/>
  <c r="C26" i="18" a="1"/>
  <c r="C26" i="18" s="1"/>
  <c r="C27" i="18" a="1"/>
  <c r="C27" i="18" s="1"/>
  <c r="Z2" i="1"/>
  <c r="R21" i="20" l="1"/>
  <c r="R17" i="20"/>
  <c r="R10" i="20"/>
  <c r="R12" i="20"/>
  <c r="R20" i="20"/>
  <c r="R16" i="20"/>
  <c r="R19" i="20"/>
  <c r="R15" i="20"/>
  <c r="W11" i="20" a="1"/>
  <c r="W11" i="20" s="1"/>
  <c r="E30" i="18"/>
  <c r="D30" i="18"/>
  <c r="C30" i="18"/>
  <c r="F29" i="18"/>
  <c r="E29" i="18"/>
  <c r="D29" i="18"/>
  <c r="C29" i="18"/>
  <c r="F28" i="18"/>
  <c r="B30" i="18"/>
  <c r="E28" i="18"/>
  <c r="D28" i="18"/>
  <c r="C28" i="18"/>
  <c r="B29" i="18"/>
  <c r="B28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<sst xmlns="http://schemas.openxmlformats.org/spreadsheetml/2006/main" count="415" uniqueCount="189">
  <si>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</si>
  <si>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</si>
  <si>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</si>
  <si>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</si>
  <si>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</si>
  <si>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</si>
  <si>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</si>
  <si>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</si>
  <si>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</si>
  <si>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</si>
  <si>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</si>
  <si>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</si>
  <si>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</si>
  <si>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</si>
  <si>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</si>
  <si>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</si>
  <si>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</si>
  <si>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</si>
  <si>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</si>
  <si>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</si>
  <si>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</si>
  <si>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</si>
  <si>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</si>
  <si>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</si>
  <si>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</si>
  <si>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</si>
  <si>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</si>
  <si>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</si>
  <si>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</si>
  <si>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</si>
  <si>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</si>
  <si>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</si>
  <si>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</si>
  <si>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</si>
  <si>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</si>
  <si>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</si>
  <si>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</si>
  <si>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</si>
  <si>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</si>
  <si>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</si>
  <si>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</si>
  <si>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</si>
  <si>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</si>
  <si>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</si>
  <si>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</si>
  <si>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</si>
  <si>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</si>
  <si>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</si>
  <si>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</si>
  <si>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</si>
  <si>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</si>
  <si>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</si>
  <si>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</si>
  <si>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</si>
  <si>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</si>
  <si>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</si>
  <si>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</si>
  <si>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</si>
  <si>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</si>
  <si>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</si>
  <si>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</si>
  <si>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</si>
  <si>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</si>
  <si>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</si>
  <si>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</si>
  <si>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</si>
  <si>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</si>
  <si>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</si>
  <si>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</si>
  <si>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</si>
  <si>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</si>
  <si>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</si>
  <si>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</si>
  <si>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</si>
  <si>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</si>
  <si>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</si>
  <si>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</si>
  <si>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</si>
  <si>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</si>
  <si>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</si>
  <si>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</si>
  <si>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</si>
  <si>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</si>
  <si>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</si>
  <si>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</si>
  <si>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</si>
  <si>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</si>
  <si>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</si>
  <si>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</si>
  <si>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</si>
  <si>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</si>
  <si>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</si>
  <si>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</si>
  <si>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</si>
  <si>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</si>
  <si>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</si>
  <si>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</si>
  <si>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</si>
  <si>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</si>
  <si>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</si>
  <si>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</si>
  <si>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</si>
  <si>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</si>
  <si>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</si>
  <si>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</si>
  <si>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</si>
  <si>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</si>
  <si>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</si>
  <si>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</si>
  <si>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</si>
  <si>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</si>
  <si>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</si>
  <si>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</si>
  <si>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</si>
  <si>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</si>
  <si>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</si>
  <si>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</si>
  <si>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</si>
  <si>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</si>
  <si>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</si>
  <si>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</si>
  <si>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</si>
  <si>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</si>
  <si>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</si>
  <si>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</si>
  <si>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</si>
  <si>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</si>
  <si>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</si>
  <si>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</si>
  <si>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</si>
  <si>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</si>
  <si>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</si>
  <si>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</si>
  <si>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</si>
  <si>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</si>
  <si>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</si>
  <si>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</si>
  <si>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</si>
  <si>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</si>
  <si>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</si>
  <si>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</si>
  <si>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</si>
  <si>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</si>
  <si>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</si>
  <si>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</si>
  <si>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</si>
  <si>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</si>
  <si>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</si>
  <si>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</si>
  <si>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</si>
  <si>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</si>
  <si>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</si>
  <si>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</si>
  <si>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</si>
  <si>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</si>
  <si>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</si>
  <si>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</si>
  <si>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</si>
  <si>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</si>
  <si>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</si>
  <si>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</si>
  <si>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Table_A</t>
  </si>
  <si>
    <t>Table_B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</si>
  <si>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</si>
  <si>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</si>
  <si>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</si>
  <si>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</si>
  <si>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</si>
  <si>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</si>
  <si>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</si>
  <si>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</si>
  <si>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</si>
  <si>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</si>
  <si>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</si>
  <si>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</si>
  <si>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 "&gt;20")</t>
  </si>
  <si>
    <t>SUM(C12:C21)</t>
  </si>
  <si>
    <t>I used find and replace option for to replace the #N/A values into '20' in sales table</t>
  </si>
  <si>
    <t xml:space="preserve">step-1 : The #N/A  values in the sales table are substituted with value '20' by using find and reaplace option, </t>
  </si>
  <si>
    <t xml:space="preserve">STEP-2: By using the SUM FORMULA sum of the sales was found </t>
  </si>
  <si>
    <t>found , the formula was SUM(C12:C21) , The (C2:C2</t>
  </si>
  <si>
    <t xml:space="preserve">12: C21) was the range of values in sales tables </t>
  </si>
  <si>
    <t>NAME</t>
  </si>
  <si>
    <t>VALUES</t>
  </si>
  <si>
    <t>NAME2</t>
  </si>
  <si>
    <t>INDEX($B$10:$I$18,MATCH([@NAME],$A$10:$A$18,0),MATCH([@NAME2],$B$9:$I$9,0))</t>
  </si>
  <si>
    <t>STEP_1 : Created the two new columns "NAME" and "NAME2" BY Combining TABLE_B and Table_C using XLOOKUP function.</t>
  </si>
  <si>
    <t>STEP_2 : By using INDEX MATCH function the values was founded by table_A</t>
  </si>
  <si>
    <t xml:space="preserve">STEP_3 : The result column VALUES are highlited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</si>
</sst>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22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Times New Roman"/>
      <charset val="204"/>
    </font>
  </fonts>
  <fills count="10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theme="4" tint="0.79998168889431442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</borders>
  <cellStyleXfs count="11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</cellStyleXfs>
  <cellXfs count="77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4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4" fillId="5" borderId="0" xfId="0" applyFont="1" applyFill="1"/>
    <xf numFmtId="166" fontId="4" fillId="0" borderId="0" xfId="0" applyNumberFormat="1" applyFont="1"/>
    <xf numFmtId="0" fontId="4" fillId="0" borderId="0" xfId="0" applyFont="1" applyBorder="1"/>
    <xf numFmtId="0" fontId="8" fillId="0" borderId="11" xfId="0" applyFont="1" applyBorder="1"/>
    <xf numFmtId="0" fontId="8" fillId="0" borderId="5" xfId="0" applyFont="1" applyBorder="1"/>
    <xf numFmtId="0" fontId="8" fillId="2" borderId="8" xfId="0" applyFont="1" applyFill="1" applyBorder="1"/>
    <xf numFmtId="0" fontId="8" fillId="3" borderId="8" xfId="0" applyFont="1" applyFill="1" applyBorder="1"/>
    <xf numFmtId="0" fontId="8" fillId="2" borderId="5" xfId="0" applyFont="1" applyFill="1" applyBorder="1"/>
    <xf numFmtId="0" fontId="8" fillId="0" borderId="12" xfId="0" applyFont="1" applyBorder="1"/>
    <xf numFmtId="0" fontId="8" fillId="0" borderId="13" xfId="0" applyFont="1" applyBorder="1"/>
    <xf numFmtId="0" fontId="4" fillId="0" borderId="3" xfId="0" applyFont="1" applyBorder="1"/>
    <xf numFmtId="0" fontId="8" fillId="0" borderId="6" xfId="0" applyFont="1" applyBorder="1"/>
    <xf numFmtId="0" fontId="8" fillId="0" borderId="4" xfId="0" applyFont="1" applyBorder="1"/>
    <xf numFmtId="0" fontId="9" fillId="0" borderId="0" xfId="0" applyFont="1" applyBorder="1"/>
    <xf numFmtId="0" fontId="12" fillId="7" borderId="9" xfId="0" applyFont="1" applyFill="1" applyBorder="1"/>
    <xf numFmtId="0" fontId="1" fillId="6" borderId="14" xfId="0" applyFont="1" applyFill="1" applyBorder="1"/>
    <xf numFmtId="0" fontId="1" fillId="0" borderId="14" xfId="0" applyFont="1" applyBorder="1"/>
    <xf numFmtId="0" fontId="1" fillId="6" borderId="20" xfId="0" applyFont="1" applyFill="1" applyBorder="1"/>
    <xf numFmtId="0" fontId="12" fillId="7" borderId="1" xfId="0" applyFont="1" applyFill="1" applyBorder="1"/>
    <xf numFmtId="0" fontId="1" fillId="6" borderId="16" xfId="0" applyFont="1" applyFill="1" applyBorder="1"/>
    <xf numFmtId="0" fontId="1" fillId="0" borderId="16" xfId="0" applyFont="1" applyBorder="1"/>
    <xf numFmtId="0" fontId="1" fillId="6" borderId="19" xfId="0" applyFont="1" applyFill="1" applyBorder="1"/>
    <xf numFmtId="0" fontId="12" fillId="7" borderId="10" xfId="0" applyFont="1" applyFill="1" applyBorder="1"/>
    <xf numFmtId="0" fontId="1" fillId="6" borderId="15" xfId="0" applyFont="1" applyFill="1" applyBorder="1"/>
    <xf numFmtId="0" fontId="1" fillId="0" borderId="15" xfId="0" applyFont="1" applyBorder="1"/>
    <xf numFmtId="0" fontId="1" fillId="6" borderId="21" xfId="0" applyFont="1" applyFill="1" applyBorder="1"/>
    <xf numFmtId="0" fontId="19" fillId="6" borderId="15" xfId="0" applyFont="1" applyFill="1" applyBorder="1"/>
    <xf numFmtId="0" fontId="19" fillId="0" borderId="15" xfId="0" applyFont="1" applyBorder="1"/>
    <xf numFmtId="0" fontId="20" fillId="6" borderId="18" xfId="0" applyFont="1" applyFill="1" applyBorder="1"/>
    <xf numFmtId="0" fontId="20" fillId="6" borderId="13" xfId="0" applyFont="1" applyFill="1" applyBorder="1"/>
    <xf numFmtId="0" fontId="20" fillId="0" borderId="18" xfId="0" applyFont="1" applyBorder="1"/>
    <xf numFmtId="0" fontId="19" fillId="0" borderId="18" xfId="0" applyFont="1" applyBorder="1"/>
    <xf numFmtId="0" fontId="19" fillId="0" borderId="13" xfId="0" applyFont="1" applyBorder="1"/>
    <xf numFmtId="0" fontId="19" fillId="6" borderId="18" xfId="0" applyFont="1" applyFill="1" applyBorder="1"/>
    <xf numFmtId="0" fontId="19" fillId="6" borderId="13" xfId="0" applyFont="1" applyFill="1" applyBorder="1"/>
    <xf numFmtId="0" fontId="20" fillId="0" borderId="9" xfId="0" applyFont="1" applyBorder="1"/>
    <xf numFmtId="0" fontId="19" fillId="0" borderId="9" xfId="0" applyFont="1" applyBorder="1"/>
    <xf numFmtId="0" fontId="19" fillId="0" borderId="1" xfId="0" applyFont="1" applyBorder="1"/>
    <xf numFmtId="0" fontId="9" fillId="8" borderId="0" xfId="0" applyFont="1" applyFill="1"/>
    <xf numFmtId="0" fontId="19" fillId="9" borderId="17" xfId="0" applyFont="1" applyFill="1" applyBorder="1"/>
    <xf numFmtId="0" fontId="19" fillId="8" borderId="17" xfId="0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9" tint="0.59999389629810485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rgb="FFB1A0C7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1"/>
      <tableStyleElement type="headerRow" dxfId="6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C454C8-1C0D-4385-8E3D-F1306927BEF8}" name="DATASET" displayName="DATASET" ref="A1:X40" totalsRowShown="0" headerRowDxfId="59" dataDxfId="58">
  <autoFilter ref="A1:X40" xr:uid="{A9C454C8-1C0D-4385-8E3D-F1306927BEF8}"/>
  <tableColumns count="24">
    <tableColumn id="1" xr3:uid="{1B5C9051-0B47-4189-BCA2-68BBC7579735}" name="name" dataDxfId="57"/>
    <tableColumn id="2" xr3:uid="{FFB252BF-2345-4ACA-AD17-C9E861638CA7}" name="ID" dataDxfId="56"/>
    <tableColumn id="3" xr3:uid="{5E345108-AA26-48FD-8FAD-06FD9974588A}" name="start_day" dataDxfId="55"/>
    <tableColumn id="4" xr3:uid="{E85B5AF9-64DE-460B-94C6-5D327DE99972}" name="start_time" dataDxfId="54"/>
    <tableColumn id="5" xr3:uid="{D67B8C65-A087-43F2-ABED-4CC4BAEE5178}" name="end_day" dataDxfId="53"/>
    <tableColumn id="6" xr3:uid="{13468D45-7226-4E7A-AB06-BE6EB9F73718}" name="end_time" dataDxfId="52"/>
    <tableColumn id="7" xr3:uid="{F65CB394-E45F-49AB-8F29-19423D05CF25}" name="car1" dataDxfId="51"/>
    <tableColumn id="8" xr3:uid="{7B941C21-CFE5-4DF7-9E07-DD1EAA63DDEB}" name="car2" dataDxfId="50"/>
    <tableColumn id="9" xr3:uid="{6CDD7209-F415-4712-802C-BFF832A5D0EB}" name="car3" dataDxfId="49"/>
    <tableColumn id="10" xr3:uid="{A28320EA-5E87-4679-8F59-68804CFDCA52}" name="moto1" dataDxfId="48"/>
    <tableColumn id="11" xr3:uid="{76914451-6374-4476-B7DF-25DB60BD5F10}" name="moto2" dataDxfId="47"/>
    <tableColumn id="12" xr3:uid="{7A550AA2-25F6-401C-87AB-D9CAC08F9C8E}" name="moto3" dataDxfId="46"/>
    <tableColumn id="13" xr3:uid="{42A7617C-C610-4B46-8B3E-F3E45FA209C5}" name="bus1" dataDxfId="45"/>
    <tableColumn id="14" xr3:uid="{24183784-00DD-41E2-9038-36B7E0D3914D}" name="bus2" dataDxfId="44"/>
    <tableColumn id="15" xr3:uid="{855C49C2-864E-4CC2-8F9F-4704FB1C0F05}" name="bus3" dataDxfId="43"/>
    <tableColumn id="16" xr3:uid="{BA21AAB0-E123-40C0-9F50-9CF496C819B2}" name="rv1" dataDxfId="42"/>
    <tableColumn id="17" xr3:uid="{D735DB3A-CF0E-4558-8395-338D45D12AAF}" name="rv2" dataDxfId="41"/>
    <tableColumn id="18" xr3:uid="{6BC5942D-2559-482E-B7F2-71C3BCE4F121}" name="rv3" dataDxfId="40"/>
    <tableColumn id="19" xr3:uid="{814488F7-9DF5-497B-ABBE-ECE53FA6A231}" name="truck1" dataDxfId="39"/>
    <tableColumn id="20" xr3:uid="{C9BE9921-370E-4B75-9793-C4978D5E40BD}" name="truck2" dataDxfId="38"/>
    <tableColumn id="21" xr3:uid="{660E8F7B-A09F-463B-8D8C-F16C2CEF8B1B}" name="taxi1" dataDxfId="37"/>
    <tableColumn id="22" xr3:uid="{A46C5E22-66D0-42CF-B363-AB7E87898431}" name="taxi2" dataDxfId="36"/>
    <tableColumn id="23" xr3:uid="{3633C1EC-1B75-4B6A-AE4D-23AE3D48C4E0}" name="taxi3" dataDxfId="35"/>
    <tableColumn id="24" xr3:uid="{3DDAAED5-A181-4E23-A72F-50D2CE56678B}" name="date" dataDxfId="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C13769-63CD-4420-8BCE-0C33C279B382}" name="Table2" displayName="Table2" ref="A5:F30" totalsRowShown="0" dataDxfId="32" headerRowBorderDxfId="33" tableBorderDxfId="31">
  <autoFilter ref="A5:F30" xr:uid="{8FC13769-63CD-4420-8BCE-0C33C279B382}"/>
  <tableColumns count="6">
    <tableColumn id="1" xr3:uid="{169F78CE-FE3A-413D-9504-F98CFA08126D}" name="name" dataDxfId="30"/>
    <tableColumn id="2" xr3:uid="{546BB78E-7B7A-4B30-9CF8-BAD720B3AA61}" name="car1" dataDxfId="29">
      <calculatedColumnFormula>MIN(B4:B8)</calculatedColumnFormula>
    </tableColumn>
    <tableColumn id="3" xr3:uid="{0F49C11C-472B-4081-AA0A-14667F3B93A4}" name="bus2" dataDxfId="28">
      <calculatedColumnFormula array="1">_xlfn.XLOOKUP(Table2[[#This Row],[name]:[name]],DATASET[[#All],[name]:[name]],DATASET[[#All],[bus2]],"NA",0)</calculatedColumnFormula>
    </tableColumn>
    <tableColumn id="4" xr3:uid="{3D943AA3-60C9-4379-A2FD-6AE06BB35C1B}" name="rv3" dataDxfId="27">
      <calculatedColumnFormula array="1">_xlfn.XLOOKUP(Table2[[#This Row],[name]:[name]],DATASET[[#All],[name]:[name]],DATASET[[#All],[rv3]],"NA",0)</calculatedColumnFormula>
    </tableColumn>
    <tableColumn id="5" xr3:uid="{6923D349-753F-4698-8FEB-0487B533F2B5}" name="truck2" dataDxfId="26">
      <calculatedColumnFormula array="1">_xlfn.XLOOKUP(Table2[[#This Row],[name]:[name]],DATASET[[#All],[name]:[name]],DATASET[[#All],[truck2]],"NA",0)</calculatedColumnFormula>
    </tableColumn>
    <tableColumn id="6" xr3:uid="{D98A7F70-0B78-48C2-A279-B7F7E8FBEB0D}" name="taxi2" dataDxfId="25">
      <calculatedColumnFormula array="1">_xlfn.XLOOKUP(Table2[[#This Row],[name]:[name]],DATASET[[#All],[name]:[name]],DATASET[[#All],[taxi2]],"NA",0)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C340F3-94C4-4B50-92F8-F58C167E4211}" name="TableB" displayName="TableB" ref="K9:L18" totalsRowShown="0" headerRowDxfId="20" headerRowBorderDxfId="23" tableBorderDxfId="24">
  <autoFilter ref="K9:L18" xr:uid="{49C340F3-94C4-4B50-92F8-F58C167E4211}"/>
  <tableColumns count="2">
    <tableColumn id="1" xr3:uid="{506F4336-6E58-4CD0-A696-321549FD8F59}" name="ID" dataDxfId="22"/>
    <tableColumn id="2" xr3:uid="{0660FC28-F0BE-4E1D-B707-4954121682BE}" name="Name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C58F098-4995-4181-9B6C-A0B375117B80}" name="TableD" displayName="TableD" ref="N9:R22" totalsRowShown="0" headerRowDxfId="13" dataDxfId="14" tableBorderDxfId="19">
  <autoFilter ref="N9:R22" xr:uid="{7C58F098-4995-4181-9B6C-A0B375117B80}"/>
  <tableColumns count="5">
    <tableColumn id="1" xr3:uid="{F517A89A-2E9C-4BAD-B4A0-63736B595D78}" name="name_1" dataDxfId="18"/>
    <tableColumn id="2" xr3:uid="{FF3780B2-47D9-4FF1-A7F0-0FEA839FBA7A}" name="NAME" dataDxfId="17">
      <calculatedColumnFormula>_xlfn.XLOOKUP(N10,TableB[ID],TableB[Name],"N/A",0)</calculatedColumnFormula>
    </tableColumn>
    <tableColumn id="3" xr3:uid="{FA562E9D-D357-4EEA-8E75-0A61ABF15FC5}" name="name_2" dataDxfId="16"/>
    <tableColumn id="4" xr3:uid="{D96A0DD5-78CA-468B-9678-4EB966A8869B}" name="NAME2" dataDxfId="15">
      <calculatedColumnFormula>_xlfn.XLOOKUP(P10,TableB[ID],TableB[Name],"N/A",0)</calculatedColumnFormula>
    </tableColumn>
    <tableColumn id="5" xr3:uid="{9569B54D-62D8-44AB-B936-5656F9429824}" name="VALUES" dataDxfId="12">
      <calculatedColumnFormula>INDEX($B$10:$I$18,MATCH(TableD[[#This Row],[NAME]],$A$10:$A$18,0),MATCH(TableD[[#This Row],[NAME2]],$B$9:$I$9,0))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07599AE-A27A-4E5C-A87D-1FCA034D1C1F}" name="TableC" displayName="TableC" ref="A22:E35" totalsRowShown="0" headerRowDxfId="2">
  <autoFilter ref="A22:E35" xr:uid="{907599AE-A27A-4E5C-A87D-1FCA034D1C1F}"/>
  <tableColumns count="5">
    <tableColumn id="1" xr3:uid="{AFD9464C-58E6-495B-87C2-3B57C30C97B1}" name="name_1" dataDxfId="5"/>
    <tableColumn id="2" xr3:uid="{DAB3943D-763B-41A6-8535-72CF026582EB}" name="NAME" dataDxfId="4">
      <calculatedColumnFormula>_xlfn.XLOOKUP(A23,TableB[ID],TableB[Name],"N/A",0)</calculatedColumnFormula>
    </tableColumn>
    <tableColumn id="3" xr3:uid="{C70215B2-FAC3-4D9B-BB4D-18A2B96C24A2}" name="name_2" dataDxfId="3"/>
    <tableColumn id="4" xr3:uid="{079F9254-2CD1-41AC-AB15-328A0A8FA4E9}" name="NAME2" dataDxfId="1">
      <calculatedColumnFormula>_xlfn.XLOOKUP(C23,TableB[ID],TableB[Name],"N/A",0)</calculatedColumnFormula>
    </tableColumn>
    <tableColumn id="5" xr3:uid="{660C1891-D73B-4BF4-8F20-FD3E6A0CC4CF}" name="VALUES" dataDxfId="0">
      <calculatedColumnFormula>INDEX($B$10:$I$18,MATCH(TableC[[#This Row],[NAME]],$A$10:$A$18,0),MATCH(TableC[[#This Row],[NAME2]],$B$9:$I$9,0))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1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171</v>
      </c>
    </row>
    <row r="9" spans="1:3" x14ac:dyDescent="0.2">
      <c r="A9" s="28" t="s">
        <v>169</v>
      </c>
      <c r="B9" s="19" t="s">
        <v>167</v>
      </c>
    </row>
    <row r="10" spans="1:3" x14ac:dyDescent="0.2">
      <c r="A10" s="27" t="s">
        <v>170</v>
      </c>
      <c r="B10" s="29">
        <v>25</v>
      </c>
    </row>
    <row r="11" spans="1:3" x14ac:dyDescent="0.2">
      <c r="A11" s="27" t="s">
        <v>55</v>
      </c>
      <c r="B11" s="29">
        <v>30</v>
      </c>
    </row>
    <row r="12" spans="1:3" x14ac:dyDescent="0.2">
      <c r="A12" s="27" t="s">
        <v>56</v>
      </c>
      <c r="B12" s="29">
        <v>10</v>
      </c>
    </row>
    <row r="13" spans="1:3" x14ac:dyDescent="0.2">
      <c r="A13" s="27" t="s">
        <v>85</v>
      </c>
      <c r="B13" s="29">
        <v>20</v>
      </c>
    </row>
    <row r="14" spans="1:3" x14ac:dyDescent="0.2">
      <c r="A14" s="27" t="s">
        <v>98</v>
      </c>
      <c r="B14" s="29">
        <v>40</v>
      </c>
    </row>
    <row r="15" spans="1:3" x14ac:dyDescent="0.2">
      <c r="A15" s="30" t="s">
        <v>168</v>
      </c>
      <c r="B15" s="18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40"/>
  <sheetViews>
    <sheetView topLeftCell="F1" zoomScale="115" zoomScaleNormal="115" workbookViewId="0">
      <pane ySplit="1" topLeftCell="A2" activePane="bottomLeft" state="frozen"/>
      <selection pane="bottomLeft" activeCell="A2" sqref="A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12.83203125" style="1" customWidth="1"/>
    <col min="4" max="4" width="13.83203125" style="17" customWidth="1"/>
    <col min="5" max="5" width="11.83203125" style="1" customWidth="1"/>
    <col min="6" max="6" width="13" style="17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6" s="3" customFormat="1" ht="14.85" customHeight="1" x14ac:dyDescent="0.25">
      <c r="A1" s="20" t="s">
        <v>64</v>
      </c>
      <c r="B1" s="20" t="s">
        <v>43</v>
      </c>
      <c r="C1" s="20" t="s">
        <v>0</v>
      </c>
      <c r="D1" s="21" t="s">
        <v>1</v>
      </c>
      <c r="E1" s="20" t="s">
        <v>2</v>
      </c>
      <c r="F1" s="21" t="s">
        <v>3</v>
      </c>
      <c r="G1" s="22" t="s">
        <v>79</v>
      </c>
      <c r="H1" s="22" t="s">
        <v>65</v>
      </c>
      <c r="I1" s="22" t="s">
        <v>66</v>
      </c>
      <c r="J1" s="23" t="s">
        <v>67</v>
      </c>
      <c r="K1" s="23" t="s">
        <v>68</v>
      </c>
      <c r="L1" s="23" t="s">
        <v>69</v>
      </c>
      <c r="M1" s="22" t="s">
        <v>70</v>
      </c>
      <c r="N1" s="22" t="s">
        <v>71</v>
      </c>
      <c r="O1" s="22" t="s">
        <v>72</v>
      </c>
      <c r="P1" s="23" t="s">
        <v>73</v>
      </c>
      <c r="Q1" s="23" t="s">
        <v>74</v>
      </c>
      <c r="R1" s="23" t="s">
        <v>75</v>
      </c>
      <c r="S1" s="22" t="s">
        <v>80</v>
      </c>
      <c r="T1" s="22" t="s">
        <v>76</v>
      </c>
      <c r="U1" s="23" t="s">
        <v>81</v>
      </c>
      <c r="V1" s="23" t="s">
        <v>77</v>
      </c>
      <c r="W1" s="23" t="s">
        <v>78</v>
      </c>
      <c r="X1" s="3" t="s">
        <v>105</v>
      </c>
    </row>
    <row r="2" spans="1:26" x14ac:dyDescent="0.25">
      <c r="A2" s="1" t="s">
        <v>40</v>
      </c>
      <c r="B2" s="1">
        <v>20000</v>
      </c>
      <c r="C2" s="1" t="s">
        <v>5</v>
      </c>
      <c r="D2" s="17">
        <v>0</v>
      </c>
      <c r="E2" s="1" t="s">
        <v>6</v>
      </c>
      <c r="F2" s="17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37">
        <v>45051</v>
      </c>
      <c r="Z2" s="1">
        <f>SUMIF(H2:H40, "&gt;20")</f>
        <v>1473.0000000000002</v>
      </c>
    </row>
    <row r="3" spans="1:26" x14ac:dyDescent="0.25">
      <c r="A3" s="1" t="s">
        <v>4</v>
      </c>
      <c r="B3" s="1">
        <v>20002</v>
      </c>
      <c r="C3" s="1" t="s">
        <v>5</v>
      </c>
      <c r="D3" s="17">
        <v>0</v>
      </c>
      <c r="E3" s="1" t="s">
        <v>6</v>
      </c>
      <c r="F3" s="17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37">
        <v>45052</v>
      </c>
    </row>
    <row r="4" spans="1:26" x14ac:dyDescent="0.25">
      <c r="A4" s="1" t="s">
        <v>7</v>
      </c>
      <c r="B4" s="1">
        <v>20004</v>
      </c>
      <c r="C4" s="1" t="s">
        <v>5</v>
      </c>
      <c r="D4" s="17">
        <v>0</v>
      </c>
      <c r="E4" s="1" t="s">
        <v>6</v>
      </c>
      <c r="F4" s="17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37">
        <v>45053</v>
      </c>
    </row>
    <row r="5" spans="1:26" x14ac:dyDescent="0.25">
      <c r="A5" s="1" t="s">
        <v>8</v>
      </c>
      <c r="B5" s="1">
        <v>20006</v>
      </c>
      <c r="C5" s="1" t="s">
        <v>5</v>
      </c>
      <c r="D5" s="17">
        <v>0</v>
      </c>
      <c r="E5" s="1" t="s">
        <v>6</v>
      </c>
      <c r="F5" s="17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37">
        <v>45054</v>
      </c>
    </row>
    <row r="6" spans="1:26" x14ac:dyDescent="0.25">
      <c r="A6" s="1" t="s">
        <v>9</v>
      </c>
      <c r="B6" s="1">
        <v>20008</v>
      </c>
      <c r="C6" s="1" t="s">
        <v>5</v>
      </c>
      <c r="D6" s="17">
        <v>0</v>
      </c>
      <c r="E6" s="1" t="s">
        <v>6</v>
      </c>
      <c r="F6" s="17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37">
        <v>45055</v>
      </c>
    </row>
    <row r="7" spans="1:26" x14ac:dyDescent="0.25">
      <c r="A7" s="1" t="s">
        <v>10</v>
      </c>
      <c r="B7" s="1">
        <v>20010</v>
      </c>
      <c r="C7" s="1" t="s">
        <v>5</v>
      </c>
      <c r="D7" s="17">
        <v>0</v>
      </c>
      <c r="E7" s="1" t="s">
        <v>6</v>
      </c>
      <c r="F7" s="17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37">
        <v>45056</v>
      </c>
    </row>
    <row r="8" spans="1:26" x14ac:dyDescent="0.25">
      <c r="A8" s="1" t="s">
        <v>11</v>
      </c>
      <c r="B8" s="1">
        <v>20012</v>
      </c>
      <c r="C8" s="1" t="s">
        <v>5</v>
      </c>
      <c r="D8" s="17">
        <v>0</v>
      </c>
      <c r="E8" s="1" t="s">
        <v>6</v>
      </c>
      <c r="F8" s="17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37">
        <v>45057</v>
      </c>
    </row>
    <row r="9" spans="1:26" x14ac:dyDescent="0.25">
      <c r="A9" s="1" t="s">
        <v>12</v>
      </c>
      <c r="B9" s="1">
        <v>20014</v>
      </c>
      <c r="C9" s="1" t="s">
        <v>5</v>
      </c>
      <c r="D9" s="17">
        <v>0</v>
      </c>
      <c r="E9" s="1" t="s">
        <v>6</v>
      </c>
      <c r="F9" s="17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37">
        <v>45058</v>
      </c>
    </row>
    <row r="10" spans="1:26" x14ac:dyDescent="0.25">
      <c r="A10" s="1" t="s">
        <v>13</v>
      </c>
      <c r="B10" s="1">
        <v>20016</v>
      </c>
      <c r="C10" s="1" t="s">
        <v>5</v>
      </c>
      <c r="D10" s="17">
        <v>0</v>
      </c>
      <c r="E10" s="1" t="s">
        <v>6</v>
      </c>
      <c r="F10" s="17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37">
        <v>45059</v>
      </c>
    </row>
    <row r="11" spans="1:26" x14ac:dyDescent="0.25">
      <c r="A11" s="1" t="s">
        <v>14</v>
      </c>
      <c r="B11" s="1">
        <v>20018</v>
      </c>
      <c r="C11" s="1" t="s">
        <v>5</v>
      </c>
      <c r="D11" s="17">
        <v>0</v>
      </c>
      <c r="E11" s="1" t="s">
        <v>6</v>
      </c>
      <c r="F11" s="17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37">
        <v>45060</v>
      </c>
    </row>
    <row r="12" spans="1:26" x14ac:dyDescent="0.25">
      <c r="A12" s="1" t="s">
        <v>15</v>
      </c>
      <c r="B12" s="1">
        <v>20020</v>
      </c>
      <c r="C12" s="1" t="s">
        <v>5</v>
      </c>
      <c r="D12" s="17">
        <v>0</v>
      </c>
      <c r="E12" s="1" t="s">
        <v>6</v>
      </c>
      <c r="F12" s="17">
        <v>0.99998842592592596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  <c r="O12" s="36">
        <v>0</v>
      </c>
      <c r="P12" s="36">
        <v>0</v>
      </c>
      <c r="Q12" s="36">
        <v>0</v>
      </c>
      <c r="R12" s="36">
        <v>0</v>
      </c>
      <c r="S12" s="36">
        <v>0</v>
      </c>
      <c r="T12" s="36">
        <v>0</v>
      </c>
      <c r="U12" s="36">
        <v>0</v>
      </c>
      <c r="V12" s="36">
        <v>0</v>
      </c>
      <c r="W12" s="36">
        <v>0</v>
      </c>
      <c r="X12" s="37">
        <v>45061</v>
      </c>
    </row>
    <row r="13" spans="1:26" x14ac:dyDescent="0.25">
      <c r="A13" s="1" t="s">
        <v>16</v>
      </c>
      <c r="B13" s="1">
        <v>20022</v>
      </c>
      <c r="C13" s="1" t="s">
        <v>5</v>
      </c>
      <c r="D13" s="17">
        <v>0</v>
      </c>
      <c r="E13" s="1" t="s">
        <v>6</v>
      </c>
      <c r="F13" s="17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37">
        <v>45062</v>
      </c>
    </row>
    <row r="14" spans="1:26" x14ac:dyDescent="0.25">
      <c r="A14" s="1" t="s">
        <v>17</v>
      </c>
      <c r="B14" s="1">
        <v>20024</v>
      </c>
      <c r="C14" s="1" t="s">
        <v>5</v>
      </c>
      <c r="D14" s="17">
        <v>0</v>
      </c>
      <c r="E14" s="1" t="s">
        <v>6</v>
      </c>
      <c r="F14" s="17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37">
        <v>45063</v>
      </c>
    </row>
    <row r="15" spans="1:26" x14ac:dyDescent="0.25">
      <c r="A15" s="1" t="s">
        <v>18</v>
      </c>
      <c r="B15" s="1">
        <v>20026</v>
      </c>
      <c r="C15" s="1" t="s">
        <v>5</v>
      </c>
      <c r="D15" s="17">
        <v>0</v>
      </c>
      <c r="E15" s="1" t="s">
        <v>6</v>
      </c>
      <c r="F15" s="17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37">
        <v>45064</v>
      </c>
    </row>
    <row r="16" spans="1:26" x14ac:dyDescent="0.25">
      <c r="A16" s="1" t="s">
        <v>19</v>
      </c>
      <c r="B16" s="1">
        <v>20028</v>
      </c>
      <c r="C16" s="1" t="s">
        <v>5</v>
      </c>
      <c r="D16" s="17">
        <v>0</v>
      </c>
      <c r="E16" s="1" t="s">
        <v>6</v>
      </c>
      <c r="F16" s="17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37">
        <v>45065</v>
      </c>
    </row>
    <row r="17" spans="1:24" x14ac:dyDescent="0.25">
      <c r="A17" s="1" t="s">
        <v>20</v>
      </c>
      <c r="B17" s="1">
        <v>20030</v>
      </c>
      <c r="C17" s="1" t="s">
        <v>5</v>
      </c>
      <c r="D17" s="17">
        <v>0</v>
      </c>
      <c r="E17" s="1" t="s">
        <v>6</v>
      </c>
      <c r="F17" s="17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37">
        <v>45066</v>
      </c>
    </row>
    <row r="18" spans="1:24" x14ac:dyDescent="0.25">
      <c r="A18" s="1" t="s">
        <v>21</v>
      </c>
      <c r="B18" s="1">
        <v>20032</v>
      </c>
      <c r="C18" s="1" t="s">
        <v>5</v>
      </c>
      <c r="D18" s="17">
        <v>0</v>
      </c>
      <c r="E18" s="1" t="s">
        <v>6</v>
      </c>
      <c r="F18" s="17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37">
        <v>45067</v>
      </c>
    </row>
    <row r="19" spans="1:24" x14ac:dyDescent="0.25">
      <c r="A19" s="1" t="s">
        <v>22</v>
      </c>
      <c r="B19" s="1">
        <v>20034</v>
      </c>
      <c r="C19" s="1" t="s">
        <v>5</v>
      </c>
      <c r="D19" s="17">
        <v>0</v>
      </c>
      <c r="E19" s="1" t="s">
        <v>6</v>
      </c>
      <c r="F19" s="17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37">
        <v>45068</v>
      </c>
    </row>
    <row r="20" spans="1:24" x14ac:dyDescent="0.25">
      <c r="A20" s="1" t="s">
        <v>23</v>
      </c>
      <c r="B20" s="1">
        <v>20036</v>
      </c>
      <c r="C20" s="1" t="s">
        <v>5</v>
      </c>
      <c r="D20" s="17">
        <v>0</v>
      </c>
      <c r="E20" s="1" t="s">
        <v>6</v>
      </c>
      <c r="F20" s="17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37">
        <v>45069</v>
      </c>
    </row>
    <row r="21" spans="1:24" x14ac:dyDescent="0.25">
      <c r="A21" s="1" t="s">
        <v>24</v>
      </c>
      <c r="B21" s="1">
        <v>20038</v>
      </c>
      <c r="C21" s="1" t="s">
        <v>5</v>
      </c>
      <c r="D21" s="17">
        <v>0</v>
      </c>
      <c r="E21" s="1" t="s">
        <v>6</v>
      </c>
      <c r="F21" s="17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37">
        <v>45070</v>
      </c>
    </row>
    <row r="22" spans="1:24" x14ac:dyDescent="0.25">
      <c r="A22" s="1" t="s">
        <v>25</v>
      </c>
      <c r="B22" s="1">
        <v>20040</v>
      </c>
      <c r="C22" s="1" t="s">
        <v>5</v>
      </c>
      <c r="D22" s="17">
        <v>0</v>
      </c>
      <c r="E22" s="1" t="s">
        <v>6</v>
      </c>
      <c r="F22" s="17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37">
        <v>45071</v>
      </c>
    </row>
    <row r="23" spans="1:24" x14ac:dyDescent="0.25">
      <c r="A23" s="1" t="s">
        <v>41</v>
      </c>
      <c r="B23" s="1">
        <v>20042</v>
      </c>
      <c r="C23" s="1" t="s">
        <v>5</v>
      </c>
      <c r="D23" s="17">
        <v>0</v>
      </c>
      <c r="E23" s="1" t="s">
        <v>6</v>
      </c>
      <c r="F23" s="17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37">
        <v>45072</v>
      </c>
    </row>
    <row r="24" spans="1:24" x14ac:dyDescent="0.25">
      <c r="A24" s="1" t="s">
        <v>26</v>
      </c>
      <c r="B24" s="1">
        <v>20044</v>
      </c>
      <c r="C24" s="1" t="s">
        <v>5</v>
      </c>
      <c r="D24" s="17">
        <v>0</v>
      </c>
      <c r="E24" s="1" t="s">
        <v>6</v>
      </c>
      <c r="F24" s="17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37">
        <v>45073</v>
      </c>
    </row>
    <row r="25" spans="1:24" x14ac:dyDescent="0.25">
      <c r="A25" s="1" t="s">
        <v>27</v>
      </c>
      <c r="B25" s="1">
        <v>20046</v>
      </c>
      <c r="C25" s="1" t="s">
        <v>5</v>
      </c>
      <c r="D25" s="17">
        <v>0</v>
      </c>
      <c r="E25" s="1" t="s">
        <v>6</v>
      </c>
      <c r="F25" s="17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37">
        <v>45074</v>
      </c>
    </row>
    <row r="26" spans="1:24" x14ac:dyDescent="0.25">
      <c r="A26" s="1" t="s">
        <v>28</v>
      </c>
      <c r="B26" s="1">
        <v>20048</v>
      </c>
      <c r="C26" s="1" t="s">
        <v>5</v>
      </c>
      <c r="D26" s="17">
        <v>0</v>
      </c>
      <c r="E26" s="1" t="s">
        <v>6</v>
      </c>
      <c r="F26" s="17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37">
        <v>45075</v>
      </c>
    </row>
    <row r="27" spans="1:24" x14ac:dyDescent="0.25">
      <c r="A27" s="1" t="s">
        <v>57</v>
      </c>
      <c r="B27" s="1">
        <v>20050</v>
      </c>
      <c r="C27" s="1" t="s">
        <v>5</v>
      </c>
      <c r="D27" s="17">
        <v>0</v>
      </c>
      <c r="E27" s="1" t="s">
        <v>6</v>
      </c>
      <c r="F27" s="17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37">
        <v>45076</v>
      </c>
    </row>
    <row r="28" spans="1:24" x14ac:dyDescent="0.25">
      <c r="A28" s="1" t="s">
        <v>29</v>
      </c>
      <c r="B28" s="1">
        <v>20052</v>
      </c>
      <c r="C28" s="1" t="s">
        <v>5</v>
      </c>
      <c r="D28" s="17">
        <v>0</v>
      </c>
      <c r="E28" s="1" t="s">
        <v>6</v>
      </c>
      <c r="F28" s="17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37">
        <v>45077</v>
      </c>
    </row>
    <row r="29" spans="1:24" x14ac:dyDescent="0.25">
      <c r="A29" s="1" t="s">
        <v>30</v>
      </c>
      <c r="B29" s="1">
        <v>20054</v>
      </c>
      <c r="C29" s="1" t="s">
        <v>5</v>
      </c>
      <c r="D29" s="17">
        <v>0</v>
      </c>
      <c r="E29" s="1" t="s">
        <v>6</v>
      </c>
      <c r="F29" s="17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37">
        <v>45078</v>
      </c>
    </row>
    <row r="30" spans="1:24" x14ac:dyDescent="0.25">
      <c r="A30" s="1" t="s">
        <v>58</v>
      </c>
      <c r="B30" s="1">
        <v>20058</v>
      </c>
      <c r="C30" s="1" t="s">
        <v>5</v>
      </c>
      <c r="D30" s="17">
        <v>0</v>
      </c>
      <c r="E30" s="1" t="s">
        <v>6</v>
      </c>
      <c r="F30" s="17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37">
        <v>45079</v>
      </c>
    </row>
    <row r="31" spans="1:24" x14ac:dyDescent="0.25">
      <c r="A31" s="1" t="s">
        <v>31</v>
      </c>
      <c r="B31" s="1">
        <v>20060</v>
      </c>
      <c r="C31" s="1" t="s">
        <v>5</v>
      </c>
      <c r="D31" s="17">
        <v>0</v>
      </c>
      <c r="E31" s="1" t="s">
        <v>6</v>
      </c>
      <c r="F31" s="17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37">
        <v>45080</v>
      </c>
    </row>
    <row r="32" spans="1:24" x14ac:dyDescent="0.25">
      <c r="A32" s="1" t="s">
        <v>32</v>
      </c>
      <c r="B32" s="1">
        <v>21000</v>
      </c>
      <c r="C32" s="1" t="s">
        <v>5</v>
      </c>
      <c r="D32" s="17">
        <v>0</v>
      </c>
      <c r="E32" s="1" t="s">
        <v>6</v>
      </c>
      <c r="F32" s="17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37">
        <v>45081</v>
      </c>
    </row>
    <row r="33" spans="1:24" x14ac:dyDescent="0.25">
      <c r="A33" s="1" t="s">
        <v>33</v>
      </c>
      <c r="B33" s="1">
        <v>21002</v>
      </c>
      <c r="C33" s="1" t="s">
        <v>5</v>
      </c>
      <c r="D33" s="17">
        <v>0</v>
      </c>
      <c r="E33" s="1" t="s">
        <v>6</v>
      </c>
      <c r="F33" s="17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37">
        <v>45082</v>
      </c>
    </row>
    <row r="34" spans="1:24" x14ac:dyDescent="0.25">
      <c r="A34" s="1" t="s">
        <v>34</v>
      </c>
      <c r="B34" s="1">
        <v>21004</v>
      </c>
      <c r="C34" s="1" t="s">
        <v>5</v>
      </c>
      <c r="D34" s="17">
        <v>0</v>
      </c>
      <c r="E34" s="1" t="s">
        <v>6</v>
      </c>
      <c r="F34" s="17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37">
        <v>45083</v>
      </c>
    </row>
    <row r="35" spans="1:24" x14ac:dyDescent="0.25">
      <c r="A35" s="1" t="s">
        <v>35</v>
      </c>
      <c r="B35" s="1">
        <v>21006</v>
      </c>
      <c r="C35" s="1" t="s">
        <v>5</v>
      </c>
      <c r="D35" s="17">
        <v>0</v>
      </c>
      <c r="E35" s="1" t="s">
        <v>6</v>
      </c>
      <c r="F35" s="17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37">
        <v>45084</v>
      </c>
    </row>
    <row r="36" spans="1:24" x14ac:dyDescent="0.25">
      <c r="A36" s="1" t="s">
        <v>36</v>
      </c>
      <c r="B36" s="1">
        <v>21008</v>
      </c>
      <c r="C36" s="1" t="s">
        <v>5</v>
      </c>
      <c r="D36" s="17">
        <v>0</v>
      </c>
      <c r="E36" s="1" t="s">
        <v>6</v>
      </c>
      <c r="F36" s="17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37">
        <v>45085</v>
      </c>
    </row>
    <row r="37" spans="1:24" x14ac:dyDescent="0.25">
      <c r="A37" s="1" t="s">
        <v>42</v>
      </c>
      <c r="B37" s="1">
        <v>21010</v>
      </c>
      <c r="C37" s="1" t="s">
        <v>5</v>
      </c>
      <c r="D37" s="17">
        <v>0</v>
      </c>
      <c r="E37" s="1" t="s">
        <v>6</v>
      </c>
      <c r="F37" s="17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37">
        <v>45086</v>
      </c>
    </row>
    <row r="38" spans="1:24" x14ac:dyDescent="0.25">
      <c r="A38" s="1" t="s">
        <v>37</v>
      </c>
      <c r="B38" s="1">
        <v>21012</v>
      </c>
      <c r="C38" s="1" t="s">
        <v>5</v>
      </c>
      <c r="D38" s="17">
        <v>0</v>
      </c>
      <c r="E38" s="1" t="s">
        <v>6</v>
      </c>
      <c r="F38" s="17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37">
        <v>45087</v>
      </c>
    </row>
    <row r="39" spans="1:24" x14ac:dyDescent="0.25">
      <c r="A39" s="1" t="s">
        <v>38</v>
      </c>
      <c r="B39" s="1">
        <v>21014</v>
      </c>
      <c r="C39" s="1" t="s">
        <v>5</v>
      </c>
      <c r="D39" s="17">
        <v>0</v>
      </c>
      <c r="E39" s="1" t="s">
        <v>6</v>
      </c>
      <c r="F39" s="17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37">
        <v>45088</v>
      </c>
    </row>
    <row r="40" spans="1:24" x14ac:dyDescent="0.25">
      <c r="A40" s="1" t="s">
        <v>39</v>
      </c>
      <c r="B40" s="1">
        <v>21016</v>
      </c>
      <c r="C40" s="1" t="s">
        <v>5</v>
      </c>
      <c r="D40" s="17">
        <v>0</v>
      </c>
      <c r="E40" s="1" t="s">
        <v>6</v>
      </c>
      <c r="F40" s="17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37">
        <v>45089</v>
      </c>
    </row>
  </sheetData>
  <conditionalFormatting sqref="A1:A1048576">
    <cfRule type="duplicateValues" dxfId="11" priority="4"/>
  </conditionalFormatting>
  <conditionalFormatting sqref="B1:B1048576">
    <cfRule type="duplicateValues" dxfId="10" priority="3"/>
  </conditionalFormatting>
  <conditionalFormatting sqref="G1:X2 G13:W40 G3:W11 X3:X40">
    <cfRule type="cellIs" dxfId="9" priority="1" operator="equal">
      <formula>0</formula>
    </cfRule>
    <cfRule type="cellIs" dxfId="8" priority="2" operator="equal">
      <formula>-1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174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26" t="s">
        <v>175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F30"/>
  <sheetViews>
    <sheetView topLeftCell="A10" zoomScaleNormal="100" workbookViewId="0">
      <selection activeCell="B29" sqref="B29"/>
    </sheetView>
  </sheetViews>
  <sheetFormatPr defaultColWidth="11" defaultRowHeight="12.75" x14ac:dyDescent="0.2"/>
  <cols>
    <col min="1" max="1" width="18.6640625" style="2" bestFit="1" customWidth="1"/>
    <col min="2" max="5" width="15.33203125" style="2" customWidth="1"/>
    <col min="6" max="6" width="11" style="2"/>
    <col min="7" max="7" width="14.33203125" style="2" bestFit="1" customWidth="1"/>
    <col min="8" max="16384" width="11" style="2"/>
  </cols>
  <sheetData>
    <row r="1" spans="1:6" s="33" customFormat="1" ht="21" x14ac:dyDescent="0.35">
      <c r="A1" s="34" t="s">
        <v>55</v>
      </c>
    </row>
    <row r="2" spans="1:6" s="33" customFormat="1" ht="21" x14ac:dyDescent="0.35"/>
    <row r="3" spans="1:6" ht="15" x14ac:dyDescent="0.25">
      <c r="A3" s="1"/>
      <c r="B3" s="1"/>
      <c r="C3" s="1"/>
      <c r="D3" s="1"/>
      <c r="E3" s="1"/>
      <c r="F3" s="1"/>
    </row>
    <row r="4" spans="1:6" ht="23.25" x14ac:dyDescent="0.35">
      <c r="A4" s="15" t="s">
        <v>161</v>
      </c>
      <c r="B4" s="1"/>
      <c r="C4" s="1"/>
      <c r="D4" s="1"/>
      <c r="E4" s="1"/>
      <c r="F4" s="1"/>
    </row>
    <row r="5" spans="1:6" ht="15" x14ac:dyDescent="0.25">
      <c r="A5" s="40" t="s">
        <v>64</v>
      </c>
      <c r="B5" s="41" t="s">
        <v>79</v>
      </c>
      <c r="C5" s="42" t="s">
        <v>71</v>
      </c>
      <c r="D5" s="41" t="s">
        <v>75</v>
      </c>
      <c r="E5" s="42" t="s">
        <v>76</v>
      </c>
      <c r="F5" s="43" t="s">
        <v>77</v>
      </c>
    </row>
    <row r="6" spans="1:6" ht="15" x14ac:dyDescent="0.25">
      <c r="A6" s="1" t="s">
        <v>40</v>
      </c>
      <c r="B6" s="1" cm="1">
        <f t="array" ref="B6">_xlfn.XLOOKUP(Table2[[#This Row],[name]:[name]],DATASET[[#All],[name]:[name]],DATASET[[#All],[car1]],"NA",0)</f>
        <v>2.7</v>
      </c>
      <c r="C6" s="1" cm="1">
        <f t="array" ref="C6">_xlfn.XLOOKUP(Table2[[#This Row],[name]:[name]],DATASET[[#All],[name]:[name]],DATASET[[#All],[bus2]],"NA",0)</f>
        <v>7.6</v>
      </c>
      <c r="D6" s="1" cm="1">
        <f t="array" ref="D6">_xlfn.XLOOKUP(Table2[[#This Row],[name]:[name]],DATASET[[#All],[name]:[name]],DATASET[[#All],[rv3]],"NA",0)</f>
        <v>4.2</v>
      </c>
      <c r="E6" s="1" cm="1">
        <f t="array" ref="E6">_xlfn.XLOOKUP(Table2[[#This Row],[name]:[name]],DATASET[[#All],[name]:[name]],DATASET[[#All],[truck2]],"NA",0)</f>
        <v>8.9</v>
      </c>
      <c r="F6" s="1" cm="1">
        <f t="array" ref="F6">_xlfn.XLOOKUP(Table2[[#This Row],[name]:[name]],DATASET[[#All],[name]:[name]],DATASET[[#All],[taxi2]],"NA",0)</f>
        <v>4.2</v>
      </c>
    </row>
    <row r="7" spans="1:6" ht="15" x14ac:dyDescent="0.25">
      <c r="A7" s="38" t="s">
        <v>4</v>
      </c>
      <c r="B7" s="1" cm="1">
        <f t="array" ref="B7">_xlfn.XLOOKUP(Table2[[#This Row],[name]:[name]],DATASET[[#All],[name]:[name]],DATASET[[#All],[car1]],"NA",0)</f>
        <v>2.7</v>
      </c>
      <c r="C7" s="10" cm="1">
        <f t="array" ref="C7">_xlfn.XLOOKUP(Table2[[#This Row],[name]:[name]],DATASET[[#All],[name]:[name]],DATASET[[#All],[bus2]],"NA",0)</f>
        <v>7.6</v>
      </c>
      <c r="D7" s="10" cm="1">
        <f t="array" ref="D7">_xlfn.XLOOKUP(Table2[[#This Row],[name]:[name]],DATASET[[#All],[name]:[name]],DATASET[[#All],[rv3]],"NA",0)</f>
        <v>4.2</v>
      </c>
      <c r="E7" s="10" cm="1">
        <f t="array" ref="E7">_xlfn.XLOOKUP(Table2[[#This Row],[name]:[name]],DATASET[[#All],[name]:[name]],DATASET[[#All],[truck2]],"NA",0)</f>
        <v>8.9</v>
      </c>
      <c r="F7" s="38" cm="1">
        <f t="array" ref="F7">_xlfn.XLOOKUP(Table2[[#This Row],[name]:[name]],DATASET[[#All],[name]:[name]],DATASET[[#All],[taxi2]],"NA",0)</f>
        <v>4.2</v>
      </c>
    </row>
    <row r="8" spans="1:6" ht="15" x14ac:dyDescent="0.25">
      <c r="A8" s="38" t="s">
        <v>7</v>
      </c>
      <c r="B8" s="1" cm="1">
        <f t="array" ref="B8">_xlfn.XLOOKUP(Table2[[#This Row],[name]:[name]],DATASET[[#All],[name]:[name]],DATASET[[#All],[car1]],"NA",0)</f>
        <v>3.6</v>
      </c>
      <c r="C8" s="10" cm="1">
        <f t="array" ref="C8">_xlfn.XLOOKUP(Table2[[#This Row],[name]:[name]],DATASET[[#All],[name]:[name]],DATASET[[#All],[bus2]],"NA",0)</f>
        <v>11.1</v>
      </c>
      <c r="D8" s="10" cm="1">
        <f t="array" ref="D8">_xlfn.XLOOKUP(Table2[[#This Row],[name]:[name]],DATASET[[#All],[name]:[name]],DATASET[[#All],[rv3]],"NA",0)</f>
        <v>5.8</v>
      </c>
      <c r="E8" s="10" cm="1">
        <f t="array" ref="E8">_xlfn.XLOOKUP(Table2[[#This Row],[name]:[name]],DATASET[[#All],[name]:[name]],DATASET[[#All],[truck2]],"NA",0)</f>
        <v>12.2</v>
      </c>
      <c r="F8" s="38" cm="1">
        <f t="array" ref="F8">_xlfn.XLOOKUP(Table2[[#This Row],[name]:[name]],DATASET[[#All],[name]:[name]],DATASET[[#All],[taxi2]],"NA",0)</f>
        <v>5.8</v>
      </c>
    </row>
    <row r="9" spans="1:6" ht="15" x14ac:dyDescent="0.25">
      <c r="A9" s="38" t="s">
        <v>8</v>
      </c>
      <c r="B9" s="1" cm="1">
        <f t="array" ref="B9">_xlfn.XLOOKUP(Table2[[#This Row],[name]:[name]],DATASET[[#All],[name]:[name]],DATASET[[#All],[car1]],"NA",0)</f>
        <v>4.9000000000000004</v>
      </c>
      <c r="C9" s="10" cm="1">
        <f t="array" ref="C9">_xlfn.XLOOKUP(Table2[[#This Row],[name]:[name]],DATASET[[#All],[name]:[name]],DATASET[[#All],[bus2]],"NA",0)</f>
        <v>13.3</v>
      </c>
      <c r="D9" s="10" cm="1">
        <f t="array" ref="D9">_xlfn.XLOOKUP(Table2[[#This Row],[name]:[name]],DATASET[[#All],[name]:[name]],DATASET[[#All],[rv3]],"NA",0)</f>
        <v>8.1</v>
      </c>
      <c r="E9" s="10" cm="1">
        <f t="array" ref="E9">_xlfn.XLOOKUP(Table2[[#This Row],[name]:[name]],DATASET[[#All],[name]:[name]],DATASET[[#All],[truck2]],"NA",0)</f>
        <v>17</v>
      </c>
      <c r="F9" s="38" cm="1">
        <f t="array" ref="F9">_xlfn.XLOOKUP(Table2[[#This Row],[name]:[name]],DATASET[[#All],[name]:[name]],DATASET[[#All],[taxi2]],"NA",0)</f>
        <v>8.1</v>
      </c>
    </row>
    <row r="10" spans="1:6" ht="15" x14ac:dyDescent="0.25">
      <c r="A10" s="38" t="s">
        <v>11</v>
      </c>
      <c r="B10" s="1" cm="1">
        <f t="array" ref="B10">_xlfn.XLOOKUP(Table2[[#This Row],[name]:[name]],DATASET[[#All],[name]:[name]],DATASET[[#All],[car1]],"NA",0)</f>
        <v>9.4</v>
      </c>
      <c r="C10" s="10" cm="1">
        <f t="array" ref="C10">_xlfn.XLOOKUP(Table2[[#This Row],[name]:[name]],DATASET[[#All],[name]:[name]],DATASET[[#All],[bus2]],"NA",0)</f>
        <v>28.3</v>
      </c>
      <c r="D10" s="10" cm="1">
        <f t="array" ref="D10">_xlfn.XLOOKUP(Table2[[#This Row],[name]:[name]],DATASET[[#All],[name]:[name]],DATASET[[#All],[rv3]],"NA",0)</f>
        <v>16.100000000000001</v>
      </c>
      <c r="E10" s="10" cm="1">
        <f t="array" ref="E10">_xlfn.XLOOKUP(Table2[[#This Row],[name]:[name]],DATASET[[#All],[name]:[name]],DATASET[[#All],[truck2]],"NA",0)</f>
        <v>32.799999999999997</v>
      </c>
      <c r="F10" s="38" cm="1">
        <f t="array" ref="F10">_xlfn.XLOOKUP(Table2[[#This Row],[name]:[name]],DATASET[[#All],[name]:[name]],DATASET[[#All],[taxi2]],"NA",0)</f>
        <v>16.100000000000001</v>
      </c>
    </row>
    <row r="11" spans="1:6" ht="15" x14ac:dyDescent="0.25">
      <c r="A11" s="38" t="s">
        <v>12</v>
      </c>
      <c r="B11" s="1" cm="1">
        <f t="array" ref="B11">_xlfn.XLOOKUP(Table2[[#This Row],[name]:[name]],DATASET[[#All],[name]:[name]],DATASET[[#All],[car1]],"NA",0)</f>
        <v>11.6</v>
      </c>
      <c r="C11" s="10" cm="1">
        <f t="array" ref="C11">_xlfn.XLOOKUP(Table2[[#This Row],[name]:[name]],DATASET[[#All],[name]:[name]],DATASET[[#All],[bus2]],"NA",0)</f>
        <v>35.200000000000003</v>
      </c>
      <c r="D11" s="10" cm="1">
        <f t="array" ref="D11">_xlfn.XLOOKUP(Table2[[#This Row],[name]:[name]],DATASET[[#All],[name]:[name]],DATASET[[#All],[rv3]],"NA",0)</f>
        <v>21.3</v>
      </c>
      <c r="E11" s="10" cm="1">
        <f t="array" ref="E11">_xlfn.XLOOKUP(Table2[[#This Row],[name]:[name]],DATASET[[#All],[name]:[name]],DATASET[[#All],[truck2]],"NA",0)</f>
        <v>43</v>
      </c>
      <c r="F11" s="38" cm="1">
        <f t="array" ref="F11">_xlfn.XLOOKUP(Table2[[#This Row],[name]:[name]],DATASET[[#All],[name]:[name]],DATASET[[#All],[taxi2]],"NA",0)</f>
        <v>21.3</v>
      </c>
    </row>
    <row r="12" spans="1:6" ht="15" x14ac:dyDescent="0.25">
      <c r="A12" s="38" t="s">
        <v>14</v>
      </c>
      <c r="B12" s="1" cm="1">
        <f t="array" ref="B12">_xlfn.XLOOKUP(Table2[[#This Row],[name]:[name]],DATASET[[#All],[name]:[name]],DATASET[[#All],[car1]],"NA",0)</f>
        <v>18.399999999999999</v>
      </c>
      <c r="C12" s="10" cm="1">
        <f t="array" ref="C12">_xlfn.XLOOKUP(Table2[[#This Row],[name]:[name]],DATASET[[#All],[name]:[name]],DATASET[[#All],[bus2]],"NA",0)</f>
        <v>55.6</v>
      </c>
      <c r="D12" s="10" cm="1">
        <f t="array" ref="D12">_xlfn.XLOOKUP(Table2[[#This Row],[name]:[name]],DATASET[[#All],[name]:[name]],DATASET[[#All],[rv3]],"NA",0)</f>
        <v>33.799999999999997</v>
      </c>
      <c r="E12" s="10" cm="1">
        <f t="array" ref="E12">_xlfn.XLOOKUP(Table2[[#This Row],[name]:[name]],DATASET[[#All],[name]:[name]],DATASET[[#All],[truck2]],"NA",0)</f>
        <v>67.900000000000006</v>
      </c>
      <c r="F12" s="38" cm="1">
        <f t="array" ref="F12">_xlfn.XLOOKUP(Table2[[#This Row],[name]:[name]],DATASET[[#All],[name]:[name]],DATASET[[#All],[taxi2]],"NA",0)</f>
        <v>33.799999999999997</v>
      </c>
    </row>
    <row r="13" spans="1:6" ht="15" x14ac:dyDescent="0.25">
      <c r="A13" s="38" t="s">
        <v>15</v>
      </c>
      <c r="B13" s="1" cm="1">
        <f t="array" ref="B13">_xlfn.XLOOKUP(Table2[[#This Row],[name]:[name]],DATASET[[#All],[name]:[name]],DATASET[[#All],[car1]],"NA",0)</f>
        <v>0</v>
      </c>
      <c r="C13" s="10" cm="1">
        <f t="array" ref="C13">_xlfn.XLOOKUP(Table2[[#This Row],[name]:[name]],DATASET[[#All],[name]:[name]],DATASET[[#All],[bus2]],"NA",0)</f>
        <v>0</v>
      </c>
      <c r="D13" s="10" cm="1">
        <f t="array" ref="D13">_xlfn.XLOOKUP(Table2[[#This Row],[name]:[name]],DATASET[[#All],[name]:[name]],DATASET[[#All],[rv3]],"NA",0)</f>
        <v>0</v>
      </c>
      <c r="E13" s="10" cm="1">
        <f t="array" ref="E13">_xlfn.XLOOKUP(Table2[[#This Row],[name]:[name]],DATASET[[#All],[name]:[name]],DATASET[[#All],[truck2]],"NA",0)</f>
        <v>0</v>
      </c>
      <c r="F13" s="38" cm="1">
        <f t="array" ref="F13">_xlfn.XLOOKUP(Table2[[#This Row],[name]:[name]],DATASET[[#All],[name]:[name]],DATASET[[#All],[taxi2]],"NA",0)</f>
        <v>0</v>
      </c>
    </row>
    <row r="14" spans="1:6" ht="15" x14ac:dyDescent="0.25">
      <c r="A14" s="38" t="s">
        <v>16</v>
      </c>
      <c r="B14" s="1" cm="1">
        <f t="array" ref="B14">_xlfn.XLOOKUP(Table2[[#This Row],[name]:[name]],DATASET[[#All],[name]:[name]],DATASET[[#All],[car1]],"NA",0)</f>
        <v>21.9</v>
      </c>
      <c r="C14" s="10" cm="1">
        <f t="array" ref="C14">_xlfn.XLOOKUP(Table2[[#This Row],[name]:[name]],DATASET[[#All],[name]:[name]],DATASET[[#All],[bus2]],"NA",0)</f>
        <v>61.5</v>
      </c>
      <c r="D14" s="10" cm="1">
        <f t="array" ref="D14">_xlfn.XLOOKUP(Table2[[#This Row],[name]:[name]],DATASET[[#All],[name]:[name]],DATASET[[#All],[rv3]],"NA",0)</f>
        <v>40.1</v>
      </c>
      <c r="E14" s="10" cm="1">
        <f t="array" ref="E14">_xlfn.XLOOKUP(Table2[[#This Row],[name]:[name]],DATASET[[#All],[name]:[name]],DATASET[[#All],[truck2]],"NA",0)</f>
        <v>76.599999999999994</v>
      </c>
      <c r="F14" s="38" cm="1">
        <f t="array" ref="F14">_xlfn.XLOOKUP(Table2[[#This Row],[name]:[name]],DATASET[[#All],[name]:[name]],DATASET[[#All],[taxi2]],"NA",0)</f>
        <v>40.1</v>
      </c>
    </row>
    <row r="15" spans="1:6" ht="15" x14ac:dyDescent="0.25">
      <c r="A15" s="38" t="s">
        <v>18</v>
      </c>
      <c r="B15" s="1" cm="1">
        <f t="array" ref="B15">_xlfn.XLOOKUP(Table2[[#This Row],[name]:[name]],DATASET[[#All],[name]:[name]],DATASET[[#All],[car1]],"NA",0)</f>
        <v>26.8</v>
      </c>
      <c r="C15" s="10" cm="1">
        <f t="array" ref="C15">_xlfn.XLOOKUP(Table2[[#This Row],[name]:[name]],DATASET[[#All],[name]:[name]],DATASET[[#All],[bus2]],"NA",0)</f>
        <v>79.599999999999994</v>
      </c>
      <c r="D15" s="10" cm="1">
        <f t="array" ref="D15">_xlfn.XLOOKUP(Table2[[#This Row],[name]:[name]],DATASET[[#All],[name]:[name]],DATASET[[#All],[rv3]],"NA",0)</f>
        <v>47.9</v>
      </c>
      <c r="E15" s="10" cm="1">
        <f t="array" ref="E15">_xlfn.XLOOKUP(Table2[[#This Row],[name]:[name]],DATASET[[#All],[name]:[name]],DATASET[[#All],[truck2]],"NA",0)</f>
        <v>96.8</v>
      </c>
      <c r="F15" s="38" cm="1">
        <f t="array" ref="F15">_xlfn.XLOOKUP(Table2[[#This Row],[name]:[name]],DATASET[[#All],[name]:[name]],DATASET[[#All],[taxi2]],"NA",0)</f>
        <v>47.9</v>
      </c>
    </row>
    <row r="16" spans="1:6" ht="15" x14ac:dyDescent="0.25">
      <c r="A16" s="38" t="s">
        <v>20</v>
      </c>
      <c r="B16" s="1" cm="1">
        <f t="array" ref="B16">_xlfn.XLOOKUP(Table2[[#This Row],[name]:[name]],DATASET[[#All],[name]:[name]],DATASET[[#All],[car1]],"NA",0)</f>
        <v>28.5</v>
      </c>
      <c r="C16" s="10" cm="1">
        <f t="array" ref="C16">_xlfn.XLOOKUP(Table2[[#This Row],[name]:[name]],DATASET[[#All],[name]:[name]],DATASET[[#All],[bus2]],"NA",0)</f>
        <v>85.4</v>
      </c>
      <c r="D16" s="10" cm="1">
        <f t="array" ref="D16">_xlfn.XLOOKUP(Table2[[#This Row],[name]:[name]],DATASET[[#All],[name]:[name]],DATASET[[#All],[rv3]],"NA",0)</f>
        <v>52.3</v>
      </c>
      <c r="E16" s="10" cm="1">
        <f t="array" ref="E16">_xlfn.XLOOKUP(Table2[[#This Row],[name]:[name]],DATASET[[#All],[name]:[name]],DATASET[[#All],[truck2]],"NA",0)</f>
        <v>106.1</v>
      </c>
      <c r="F16" s="38" cm="1">
        <f t="array" ref="F16">_xlfn.XLOOKUP(Table2[[#This Row],[name]:[name]],DATASET[[#All],[name]:[name]],DATASET[[#All],[taxi2]],"NA",0)</f>
        <v>52.3</v>
      </c>
    </row>
    <row r="17" spans="1:6" ht="15" x14ac:dyDescent="0.25">
      <c r="A17" s="38" t="s">
        <v>22</v>
      </c>
      <c r="B17" s="1" cm="1">
        <f t="array" ref="B17">_xlfn.XLOOKUP(Table2[[#This Row],[name]:[name]],DATASET[[#All],[name]:[name]],DATASET[[#All],[car1]],"NA",0)</f>
        <v>30.7</v>
      </c>
      <c r="C17" s="10" cm="1">
        <f t="array" ref="C17">_xlfn.XLOOKUP(Table2[[#This Row],[name]:[name]],DATASET[[#All],[name]:[name]],DATASET[[#All],[bus2]],"NA",0)</f>
        <v>92.1</v>
      </c>
      <c r="D17" s="10" cm="1">
        <f t="array" ref="D17">_xlfn.XLOOKUP(Table2[[#This Row],[name]:[name]],DATASET[[#All],[name]:[name]],DATASET[[#All],[rv3]],"NA",0)</f>
        <v>57</v>
      </c>
      <c r="E17" s="10" cm="1">
        <f t="array" ref="E17">_xlfn.XLOOKUP(Table2[[#This Row],[name]:[name]],DATASET[[#All],[name]:[name]],DATASET[[#All],[truck2]],"NA",0)</f>
        <v>115.1</v>
      </c>
      <c r="F17" s="38" cm="1">
        <f t="array" ref="F17">_xlfn.XLOOKUP(Table2[[#This Row],[name]:[name]],DATASET[[#All],[name]:[name]],DATASET[[#All],[taxi2]],"NA",0)</f>
        <v>57</v>
      </c>
    </row>
    <row r="18" spans="1:6" ht="15" x14ac:dyDescent="0.25">
      <c r="A18" s="38" t="s">
        <v>23</v>
      </c>
      <c r="B18" s="1" cm="1">
        <f t="array" ref="B18">_xlfn.XLOOKUP(Table2[[#This Row],[name]:[name]],DATASET[[#All],[name]:[name]],DATASET[[#All],[car1]],"NA",0)</f>
        <v>33.799999999999997</v>
      </c>
      <c r="C18" s="10" cm="1">
        <f t="array" ref="C18">_xlfn.XLOOKUP(Table2[[#This Row],[name]:[name]],DATASET[[#All],[name]:[name]],DATASET[[#All],[bus2]],"NA",0)</f>
        <v>101.3</v>
      </c>
      <c r="D18" s="10" cm="1">
        <f t="array" ref="D18">_xlfn.XLOOKUP(Table2[[#This Row],[name]:[name]],DATASET[[#All],[name]:[name]],DATASET[[#All],[rv3]],"NA",0)</f>
        <v>61.4</v>
      </c>
      <c r="E18" s="10" cm="1">
        <f t="array" ref="E18">_xlfn.XLOOKUP(Table2[[#This Row],[name]:[name]],DATASET[[#All],[name]:[name]],DATASET[[#All],[truck2]],"NA",0)</f>
        <v>124.4</v>
      </c>
      <c r="F18" s="38" cm="1">
        <f t="array" ref="F18">_xlfn.XLOOKUP(Table2[[#This Row],[name]:[name]],DATASET[[#All],[name]:[name]],DATASET[[#All],[taxi2]],"NA",0)</f>
        <v>61.4</v>
      </c>
    </row>
    <row r="19" spans="1:6" ht="15" x14ac:dyDescent="0.25">
      <c r="A19" s="38" t="s">
        <v>24</v>
      </c>
      <c r="B19" s="1" cm="1">
        <f t="array" ref="B19">_xlfn.XLOOKUP(Table2[[#This Row],[name]:[name]],DATASET[[#All],[name]:[name]],DATASET[[#All],[car1]],"NA",0)</f>
        <v>34.700000000000003</v>
      </c>
      <c r="C19" s="10" cm="1">
        <f t="array" ref="C19">_xlfn.XLOOKUP(Table2[[#This Row],[name]:[name]],DATASET[[#All],[name]:[name]],DATASET[[#All],[bus2]],"NA",0)</f>
        <v>106.1</v>
      </c>
      <c r="D19" s="10" cm="1">
        <f t="array" ref="D19">_xlfn.XLOOKUP(Table2[[#This Row],[name]:[name]],DATASET[[#All],[name]:[name]],DATASET[[#All],[rv3]],"NA",0)</f>
        <v>63.6</v>
      </c>
      <c r="E19" s="10" cm="1">
        <f t="array" ref="E19">_xlfn.XLOOKUP(Table2[[#This Row],[name]:[name]],DATASET[[#All],[name]:[name]],DATASET[[#All],[truck2]],"NA",0)</f>
        <v>128.6</v>
      </c>
      <c r="F19" s="38" cm="1">
        <f t="array" ref="F19">_xlfn.XLOOKUP(Table2[[#This Row],[name]:[name]],DATASET[[#All],[name]:[name]],DATASET[[#All],[taxi2]],"NA",0)</f>
        <v>63.6</v>
      </c>
    </row>
    <row r="20" spans="1:6" ht="15" x14ac:dyDescent="0.25">
      <c r="A20" s="38" t="s">
        <v>28</v>
      </c>
      <c r="B20" s="1" cm="1">
        <f t="array" ref="B20">_xlfn.XLOOKUP(Table2[[#This Row],[name]:[name]],DATASET[[#All],[name]:[name]],DATASET[[#All],[car1]],"NA",0)</f>
        <v>0</v>
      </c>
      <c r="C20" s="10" cm="1">
        <f t="array" ref="C20">_xlfn.XLOOKUP(Table2[[#This Row],[name]:[name]],DATASET[[#All],[name]:[name]],DATASET[[#All],[bus2]],"NA",0)</f>
        <v>0</v>
      </c>
      <c r="D20" s="10" cm="1">
        <f t="array" ref="D20">_xlfn.XLOOKUP(Table2[[#This Row],[name]:[name]],DATASET[[#All],[name]:[name]],DATASET[[#All],[rv3]],"NA",0)</f>
        <v>0</v>
      </c>
      <c r="E20" s="10" cm="1">
        <f t="array" ref="E20">_xlfn.XLOOKUP(Table2[[#This Row],[name]:[name]],DATASET[[#All],[name]:[name]],DATASET[[#All],[truck2]],"NA",0)</f>
        <v>0</v>
      </c>
      <c r="F20" s="38" cm="1">
        <f t="array" ref="F20">_xlfn.XLOOKUP(Table2[[#This Row],[name]:[name]],DATASET[[#All],[name]:[name]],DATASET[[#All],[taxi2]],"NA",0)</f>
        <v>0</v>
      </c>
    </row>
    <row r="21" spans="1:6" ht="15" x14ac:dyDescent="0.25">
      <c r="A21" s="38" t="s">
        <v>57</v>
      </c>
      <c r="B21" s="1" cm="1">
        <f t="array" ref="B21">_xlfn.XLOOKUP(Table2[[#This Row],[name]:[name]],DATASET[[#All],[name]:[name]],DATASET[[#All],[car1]],"NA",0)</f>
        <v>41.3</v>
      </c>
      <c r="C21" s="10" cm="1">
        <f t="array" ref="C21">_xlfn.XLOOKUP(Table2[[#This Row],[name]:[name]],DATASET[[#All],[name]:[name]],DATASET[[#All],[bus2]],"NA",0)</f>
        <v>124.4</v>
      </c>
      <c r="D21" s="10" cm="1">
        <f t="array" ref="D21">_xlfn.XLOOKUP(Table2[[#This Row],[name]:[name]],DATASET[[#All],[name]:[name]],DATASET[[#All],[rv3]],"NA",0)</f>
        <v>75</v>
      </c>
      <c r="E21" s="10" cm="1">
        <f t="array" ref="E21">_xlfn.XLOOKUP(Table2[[#This Row],[name]:[name]],DATASET[[#All],[name]:[name]],DATASET[[#All],[truck2]],"NA",0)</f>
        <v>151.5</v>
      </c>
      <c r="F21" s="38" cm="1">
        <f t="array" ref="F21">_xlfn.XLOOKUP(Table2[[#This Row],[name]:[name]],DATASET[[#All],[name]:[name]],DATASET[[#All],[taxi2]],"NA",0)</f>
        <v>75</v>
      </c>
    </row>
    <row r="22" spans="1:6" ht="15" x14ac:dyDescent="0.25">
      <c r="A22" s="38" t="s">
        <v>58</v>
      </c>
      <c r="B22" s="1" cm="1">
        <f t="array" ref="B22">_xlfn.XLOOKUP(Table2[[#This Row],[name]:[name]],DATASET[[#All],[name]:[name]],DATASET[[#All],[car1]],"NA",0)</f>
        <v>-1</v>
      </c>
      <c r="C22" s="10" cm="1">
        <f t="array" ref="C22">_xlfn.XLOOKUP(Table2[[#This Row],[name]:[name]],DATASET[[#All],[name]:[name]],DATASET[[#All],[bus2]],"NA",0)</f>
        <v>-1</v>
      </c>
      <c r="D22" s="10" cm="1">
        <f t="array" ref="D22">_xlfn.XLOOKUP(Table2[[#This Row],[name]:[name]],DATASET[[#All],[name]:[name]],DATASET[[#All],[rv3]],"NA",0)</f>
        <v>-1</v>
      </c>
      <c r="E22" s="10" cm="1">
        <f t="array" ref="E22">_xlfn.XLOOKUP(Table2[[#This Row],[name]:[name]],DATASET[[#All],[name]:[name]],DATASET[[#All],[truck2]],"NA",0)</f>
        <v>-1</v>
      </c>
      <c r="F22" s="38" cm="1">
        <f t="array" ref="F22">_xlfn.XLOOKUP(Table2[[#This Row],[name]:[name]],DATASET[[#All],[name]:[name]],DATASET[[#All],[taxi2]],"NA",0)</f>
        <v>-1</v>
      </c>
    </row>
    <row r="23" spans="1:6" ht="15" x14ac:dyDescent="0.25">
      <c r="A23" s="38" t="s">
        <v>31</v>
      </c>
      <c r="B23" s="1" cm="1">
        <f t="array" ref="B23">_xlfn.XLOOKUP(Table2[[#This Row],[name]:[name]],DATASET[[#All],[name]:[name]],DATASET[[#All],[car1]],"NA",0)</f>
        <v>45</v>
      </c>
      <c r="C23" s="10" cm="1">
        <f t="array" ref="C23">_xlfn.XLOOKUP(Table2[[#This Row],[name]:[name]],DATASET[[#All],[name]:[name]],DATASET[[#All],[bus2]],"NA",0)</f>
        <v>133.4</v>
      </c>
      <c r="D23" s="10" cm="1">
        <f t="array" ref="D23">_xlfn.XLOOKUP(Table2[[#This Row],[name]:[name]],DATASET[[#All],[name]:[name]],DATASET[[#All],[rv3]],"NA",0)</f>
        <v>79.400000000000006</v>
      </c>
      <c r="E23" s="10" cm="1">
        <f t="array" ref="E23">_xlfn.XLOOKUP(Table2[[#This Row],[name]:[name]],DATASET[[#All],[name]:[name]],DATASET[[#All],[truck2]],"NA",0)</f>
        <v>160.9</v>
      </c>
      <c r="F23" s="38" cm="1">
        <f t="array" ref="F23">_xlfn.XLOOKUP(Table2[[#This Row],[name]:[name]],DATASET[[#All],[name]:[name]],DATASET[[#All],[taxi2]],"NA",0)</f>
        <v>79.400000000000006</v>
      </c>
    </row>
    <row r="24" spans="1:6" ht="15" x14ac:dyDescent="0.25">
      <c r="A24" s="38" t="s">
        <v>32</v>
      </c>
      <c r="B24" s="1" cm="1">
        <f t="array" ref="B24">_xlfn.XLOOKUP(Table2[[#This Row],[name]:[name]],DATASET[[#All],[name]:[name]],DATASET[[#All],[car1]],"NA",0)</f>
        <v>-1</v>
      </c>
      <c r="C24" s="10" cm="1">
        <f t="array" ref="C24">_xlfn.XLOOKUP(Table2[[#This Row],[name]:[name]],DATASET[[#All],[name]:[name]],DATASET[[#All],[bus2]],"NA",0)</f>
        <v>-1</v>
      </c>
      <c r="D24" s="10" cm="1">
        <f t="array" ref="D24">_xlfn.XLOOKUP(Table2[[#This Row],[name]:[name]],DATASET[[#All],[name]:[name]],DATASET[[#All],[rv3]],"NA",0)</f>
        <v>-1</v>
      </c>
      <c r="E24" s="10" cm="1">
        <f t="array" ref="E24">_xlfn.XLOOKUP(Table2[[#This Row],[name]:[name]],DATASET[[#All],[name]:[name]],DATASET[[#All],[truck2]],"NA",0)</f>
        <v>-1</v>
      </c>
      <c r="F24" s="38" cm="1">
        <f t="array" ref="F24">_xlfn.XLOOKUP(Table2[[#This Row],[name]:[name]],DATASET[[#All],[name]:[name]],DATASET[[#All],[taxi2]],"NA",0)</f>
        <v>-1</v>
      </c>
    </row>
    <row r="25" spans="1:6" ht="15" x14ac:dyDescent="0.25">
      <c r="A25" s="38" t="s">
        <v>34</v>
      </c>
      <c r="B25" s="1" cm="1">
        <f t="array" ref="B25">_xlfn.XLOOKUP(Table2[[#This Row],[name]:[name]],DATASET[[#All],[name]:[name]],DATASET[[#All],[car1]],"NA",0)</f>
        <v>43.3</v>
      </c>
      <c r="C25" s="10" cm="1">
        <f t="array" ref="C25">_xlfn.XLOOKUP(Table2[[#This Row],[name]:[name]],DATASET[[#All],[name]:[name]],DATASET[[#All],[bus2]],"NA",0)</f>
        <v>128.6</v>
      </c>
      <c r="D25" s="10" cm="1">
        <f t="array" ref="D25">_xlfn.XLOOKUP(Table2[[#This Row],[name]:[name]],DATASET[[#All],[name]:[name]],DATASET[[#All],[rv3]],"NA",0)</f>
        <v>79.400000000000006</v>
      </c>
      <c r="E25" s="10" cm="1">
        <f t="array" ref="E25">_xlfn.XLOOKUP(Table2[[#This Row],[name]:[name]],DATASET[[#All],[name]:[name]],DATASET[[#All],[truck2]],"NA",0)</f>
        <v>160.9</v>
      </c>
      <c r="F25" s="38" cm="1">
        <f t="array" ref="F25">_xlfn.XLOOKUP(Table2[[#This Row],[name]:[name]],DATASET[[#All],[name]:[name]],DATASET[[#All],[taxi2]],"NA",0)</f>
        <v>79.400000000000006</v>
      </c>
    </row>
    <row r="26" spans="1:6" ht="15" x14ac:dyDescent="0.25">
      <c r="A26" s="38" t="s">
        <v>37</v>
      </c>
      <c r="B26" s="1" cm="1">
        <f t="array" ref="B26">_xlfn.XLOOKUP(Table2[[#This Row],[name]:[name]],DATASET[[#All],[name]:[name]],DATASET[[#All],[car1]],"NA",0)</f>
        <v>49.1</v>
      </c>
      <c r="C26" s="10" cm="1">
        <f t="array" ref="C26">_xlfn.XLOOKUP(Table2[[#This Row],[name]:[name]],DATASET[[#All],[name]:[name]],DATASET[[#All],[bus2]],"NA",0)</f>
        <v>146.80000000000001</v>
      </c>
      <c r="D26" s="10" cm="1">
        <f t="array" ref="D26">_xlfn.XLOOKUP(Table2[[#This Row],[name]:[name]],DATASET[[#All],[name]:[name]],DATASET[[#All],[rv3]],"NA",0)</f>
        <v>90.9</v>
      </c>
      <c r="E26" s="10" cm="1">
        <f t="array" ref="E26">_xlfn.XLOOKUP(Table2[[#This Row],[name]:[name]],DATASET[[#All],[name]:[name]],DATASET[[#All],[truck2]],"NA",0)</f>
        <v>183.5</v>
      </c>
      <c r="F26" s="38" cm="1">
        <f t="array" ref="F26">_xlfn.XLOOKUP(Table2[[#This Row],[name]:[name]],DATASET[[#All],[name]:[name]],DATASET[[#All],[taxi2]],"NA",0)</f>
        <v>90.9</v>
      </c>
    </row>
    <row r="27" spans="1:6" ht="15" x14ac:dyDescent="0.25">
      <c r="A27" s="38" t="s">
        <v>39</v>
      </c>
      <c r="B27" s="1" cm="1">
        <f t="array" ref="B27">_xlfn.XLOOKUP(Table2[[#This Row],[name]:[name]],DATASET[[#All],[name]:[name]],DATASET[[#All],[car1]],"NA",0)</f>
        <v>51.8</v>
      </c>
      <c r="C27" s="10" cm="1">
        <f t="array" ref="C27">_xlfn.XLOOKUP(Table2[[#This Row],[name]:[name]],DATASET[[#All],[name]:[name]],DATASET[[#All],[bus2]],"NA",0)</f>
        <v>156.4</v>
      </c>
      <c r="D27" s="10" cm="1">
        <f t="array" ref="D27">_xlfn.XLOOKUP(Table2[[#This Row],[name]:[name]],DATASET[[#All],[name]:[name]],DATASET[[#All],[rv3]],"NA",0)</f>
        <v>93.1</v>
      </c>
      <c r="E27" s="10" cm="1">
        <f t="array" ref="E27">_xlfn.XLOOKUP(Table2[[#This Row],[name]:[name]],DATASET[[#All],[name]:[name]],DATASET[[#All],[truck2]],"NA",0)</f>
        <v>188.1</v>
      </c>
      <c r="F27" s="38" cm="1">
        <f t="array" ref="F27">_xlfn.XLOOKUP(Table2[[#This Row],[name]:[name]],DATASET[[#All],[name]:[name]],DATASET[[#All],[taxi2]],"NA",0)</f>
        <v>93.1</v>
      </c>
    </row>
    <row r="28" spans="1:6" ht="15" x14ac:dyDescent="0.25">
      <c r="A28" s="39" t="s">
        <v>82</v>
      </c>
      <c r="B28" s="16">
        <f>MIN(B6:B27)</f>
        <v>-1</v>
      </c>
      <c r="C28" s="16">
        <f>MIN(C6:C27)</f>
        <v>-1</v>
      </c>
      <c r="D28" s="16">
        <f>MIN(D6:D27)</f>
        <v>-1</v>
      </c>
      <c r="E28" s="16">
        <f>MIN(E6:E27)</f>
        <v>-1</v>
      </c>
      <c r="F28" s="16">
        <f>MIN(F6:F27)</f>
        <v>-1</v>
      </c>
    </row>
    <row r="29" spans="1:6" ht="15" x14ac:dyDescent="0.25">
      <c r="A29" s="39" t="s">
        <v>83</v>
      </c>
      <c r="B29" s="16">
        <f>MAX(B6:B27)</f>
        <v>51.8</v>
      </c>
      <c r="C29" s="16">
        <f>MAX(C6:C27)</f>
        <v>156.4</v>
      </c>
      <c r="D29" s="16">
        <f>MAX(D6:D27)</f>
        <v>93.1</v>
      </c>
      <c r="E29" s="16">
        <f>MAX(E6:E27)</f>
        <v>188.1</v>
      </c>
      <c r="F29" s="16">
        <f>MAX(F6:F27)</f>
        <v>93.1</v>
      </c>
    </row>
    <row r="30" spans="1:6" ht="15" x14ac:dyDescent="0.25">
      <c r="A30" s="44" t="s">
        <v>84</v>
      </c>
      <c r="B30" s="45">
        <f>AVERAGE(B6:B27)</f>
        <v>20.827272727272728</v>
      </c>
      <c r="C30" s="45">
        <f>AVERAGE(C6:C27)</f>
        <v>62.377272727272725</v>
      </c>
      <c r="D30" s="45">
        <f>AVERAGE(D6:D27)</f>
        <v>37.800000000000004</v>
      </c>
      <c r="E30" s="45">
        <f>AVERAGE(E6:E27)</f>
        <v>76.418181818181822</v>
      </c>
      <c r="F30" s="45">
        <f>AVERAGE(F6:F27)</f>
        <v>37.800000000000004</v>
      </c>
    </row>
  </sheetData>
  <conditionalFormatting sqref="B6:F6 B7:B27">
    <cfRule type="duplicateValues" dxfId="7" priority="2"/>
  </conditionalFormatting>
  <conditionalFormatting sqref="A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F54"/>
  <sheetViews>
    <sheetView topLeftCell="A34" zoomScaleNormal="100" workbookViewId="0">
      <selection activeCell="L13" sqref="L13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6" s="33" customFormat="1" ht="21" x14ac:dyDescent="0.35">
      <c r="A1" s="34" t="s">
        <v>56</v>
      </c>
      <c r="B1" s="33" t="s">
        <v>172</v>
      </c>
    </row>
    <row r="2" spans="1:6" customFormat="1" ht="12.75" x14ac:dyDescent="0.2"/>
    <row r="3" spans="1:6" s="2" customFormat="1" x14ac:dyDescent="0.25">
      <c r="B3" s="1"/>
    </row>
    <row r="4" spans="1:6" s="2" customFormat="1" x14ac:dyDescent="0.25">
      <c r="B4" s="1" t="s">
        <v>151</v>
      </c>
    </row>
    <row r="5" spans="1:6" ht="18.75" x14ac:dyDescent="0.3">
      <c r="A5" s="35" t="s">
        <v>53</v>
      </c>
      <c r="B5" s="32"/>
    </row>
    <row r="6" spans="1:6" ht="18.75" x14ac:dyDescent="0.3">
      <c r="A6" s="35" t="s">
        <v>153</v>
      </c>
      <c r="B6" s="32"/>
    </row>
    <row r="7" spans="1:6" ht="18.75" x14ac:dyDescent="0.3">
      <c r="A7" s="35"/>
      <c r="B7" s="32"/>
    </row>
    <row r="9" spans="1:6" ht="23.25" x14ac:dyDescent="0.35">
      <c r="A9" s="15" t="s">
        <v>163</v>
      </c>
    </row>
    <row r="10" spans="1:6" x14ac:dyDescent="0.25">
      <c r="A10" s="25" t="s">
        <v>102</v>
      </c>
      <c r="B10" s="14" t="s">
        <v>49</v>
      </c>
      <c r="C10" s="14" t="s">
        <v>50</v>
      </c>
      <c r="D10" s="14" t="s">
        <v>51</v>
      </c>
      <c r="E10" s="14" t="s">
        <v>52</v>
      </c>
      <c r="F10" s="14" t="s">
        <v>54</v>
      </c>
    </row>
    <row r="11" spans="1:6" x14ac:dyDescent="0.2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</row>
    <row r="14" spans="1:6" ht="23.25" x14ac:dyDescent="0.35">
      <c r="A14" s="15" t="s">
        <v>161</v>
      </c>
    </row>
    <row r="15" spans="1:6" x14ac:dyDescent="0.25">
      <c r="A15" s="12" t="s">
        <v>103</v>
      </c>
      <c r="B15" s="14" t="s">
        <v>49</v>
      </c>
      <c r="C15" s="13" t="s">
        <v>50</v>
      </c>
      <c r="D15" s="14" t="s">
        <v>51</v>
      </c>
      <c r="E15" s="13" t="s">
        <v>52</v>
      </c>
      <c r="F15" s="14" t="s">
        <v>54</v>
      </c>
    </row>
    <row r="16" spans="1:6" x14ac:dyDescent="0.25">
      <c r="A16" s="7" t="s">
        <v>121</v>
      </c>
      <c r="B16" s="7">
        <v>20000</v>
      </c>
      <c r="C16" s="1" t="s">
        <v>5</v>
      </c>
      <c r="D16" s="1">
        <v>0</v>
      </c>
      <c r="E16" s="1" t="s">
        <v>6</v>
      </c>
      <c r="F16" s="1">
        <v>24</v>
      </c>
    </row>
    <row r="17" spans="1:6" x14ac:dyDescent="0.25">
      <c r="A17" s="7" t="s">
        <v>122</v>
      </c>
      <c r="B17" s="7">
        <v>20002</v>
      </c>
      <c r="C17" s="1" t="s">
        <v>5</v>
      </c>
      <c r="D17" s="1">
        <v>0</v>
      </c>
      <c r="E17" s="1" t="s">
        <v>6</v>
      </c>
      <c r="F17" s="1">
        <v>24</v>
      </c>
    </row>
    <row r="18" spans="1:6" x14ac:dyDescent="0.25">
      <c r="A18" s="7" t="s">
        <v>123</v>
      </c>
      <c r="B18" s="7">
        <v>20004</v>
      </c>
      <c r="C18" s="1" t="s">
        <v>5</v>
      </c>
      <c r="D18" s="1">
        <v>0</v>
      </c>
      <c r="E18" s="1" t="s">
        <v>6</v>
      </c>
      <c r="F18" s="1">
        <v>24</v>
      </c>
    </row>
    <row r="19" spans="1:6" x14ac:dyDescent="0.25">
      <c r="A19" s="7" t="s">
        <v>124</v>
      </c>
      <c r="B19" s="7">
        <v>20006</v>
      </c>
      <c r="C19" s="1" t="s">
        <v>5</v>
      </c>
      <c r="D19" s="1">
        <v>0</v>
      </c>
      <c r="E19" s="1" t="s">
        <v>6</v>
      </c>
      <c r="F19" s="1">
        <v>24</v>
      </c>
    </row>
    <row r="20" spans="1:6" x14ac:dyDescent="0.25">
      <c r="A20" s="7" t="s">
        <v>125</v>
      </c>
      <c r="B20" s="7">
        <v>20008</v>
      </c>
      <c r="C20" s="1" t="s">
        <v>5</v>
      </c>
      <c r="D20" s="1">
        <v>0</v>
      </c>
      <c r="E20" s="1" t="s">
        <v>6</v>
      </c>
      <c r="F20" s="1">
        <v>24</v>
      </c>
    </row>
    <row r="21" spans="1:6" x14ac:dyDescent="0.25">
      <c r="A21" s="7" t="s">
        <v>126</v>
      </c>
      <c r="B21" s="7">
        <v>20010</v>
      </c>
      <c r="C21" s="1" t="s">
        <v>5</v>
      </c>
      <c r="D21" s="1">
        <v>0</v>
      </c>
      <c r="E21" s="1" t="s">
        <v>6</v>
      </c>
      <c r="F21" s="1">
        <v>24</v>
      </c>
    </row>
    <row r="22" spans="1:6" x14ac:dyDescent="0.25">
      <c r="A22" s="7" t="s">
        <v>127</v>
      </c>
      <c r="B22" s="7">
        <v>20012</v>
      </c>
      <c r="C22" s="1" t="s">
        <v>5</v>
      </c>
      <c r="D22" s="1">
        <v>0</v>
      </c>
      <c r="E22" s="1" t="s">
        <v>6</v>
      </c>
      <c r="F22" s="1">
        <v>24</v>
      </c>
    </row>
    <row r="23" spans="1:6" x14ac:dyDescent="0.25">
      <c r="A23" s="7" t="s">
        <v>128</v>
      </c>
      <c r="B23" s="7">
        <v>20014</v>
      </c>
      <c r="C23" s="1" t="s">
        <v>5</v>
      </c>
      <c r="D23" s="1">
        <v>0</v>
      </c>
      <c r="E23" s="1" t="s">
        <v>6</v>
      </c>
      <c r="F23" s="1">
        <v>24</v>
      </c>
    </row>
    <row r="24" spans="1:6" x14ac:dyDescent="0.25">
      <c r="A24" s="7" t="s">
        <v>129</v>
      </c>
      <c r="B24" s="7">
        <v>20016</v>
      </c>
      <c r="C24" s="1" t="s">
        <v>5</v>
      </c>
      <c r="D24" s="1">
        <v>0</v>
      </c>
      <c r="E24" s="1" t="s">
        <v>6</v>
      </c>
      <c r="F24" s="1">
        <v>24</v>
      </c>
    </row>
    <row r="25" spans="1:6" x14ac:dyDescent="0.25">
      <c r="A25" s="7" t="s">
        <v>130</v>
      </c>
      <c r="B25" s="7">
        <v>20018</v>
      </c>
      <c r="C25" s="1" t="s">
        <v>5</v>
      </c>
      <c r="D25" s="1">
        <v>0</v>
      </c>
      <c r="E25" s="1" t="s">
        <v>6</v>
      </c>
      <c r="F25" s="1">
        <v>24</v>
      </c>
    </row>
    <row r="26" spans="1:6" x14ac:dyDescent="0.25">
      <c r="A26" s="7" t="s">
        <v>131</v>
      </c>
      <c r="B26" s="7">
        <v>20020</v>
      </c>
      <c r="C26" s="1" t="s">
        <v>5</v>
      </c>
      <c r="D26" s="1">
        <v>0</v>
      </c>
      <c r="E26" s="1" t="s">
        <v>6</v>
      </c>
      <c r="F26" s="1">
        <v>24</v>
      </c>
    </row>
    <row r="27" spans="1:6" x14ac:dyDescent="0.25">
      <c r="A27" s="7" t="s">
        <v>132</v>
      </c>
      <c r="B27" s="7">
        <v>20022</v>
      </c>
      <c r="C27" s="1" t="s">
        <v>5</v>
      </c>
      <c r="D27" s="1">
        <v>0</v>
      </c>
      <c r="E27" s="1" t="s">
        <v>6</v>
      </c>
      <c r="F27" s="1">
        <v>24</v>
      </c>
    </row>
    <row r="28" spans="1:6" x14ac:dyDescent="0.25">
      <c r="A28" s="7" t="s">
        <v>133</v>
      </c>
      <c r="B28" s="7">
        <v>20024</v>
      </c>
      <c r="C28" s="1" t="s">
        <v>5</v>
      </c>
      <c r="D28" s="1">
        <v>0</v>
      </c>
      <c r="E28" s="1" t="s">
        <v>6</v>
      </c>
      <c r="F28" s="1">
        <v>24</v>
      </c>
    </row>
    <row r="29" spans="1:6" x14ac:dyDescent="0.25">
      <c r="A29" s="7" t="s">
        <v>134</v>
      </c>
      <c r="B29" s="7">
        <v>20026</v>
      </c>
      <c r="C29" s="1" t="s">
        <v>5</v>
      </c>
      <c r="D29" s="1">
        <v>0</v>
      </c>
      <c r="E29" s="1" t="s">
        <v>6</v>
      </c>
      <c r="F29" s="1">
        <v>24</v>
      </c>
    </row>
    <row r="30" spans="1:6" x14ac:dyDescent="0.25">
      <c r="A30" s="7" t="s">
        <v>135</v>
      </c>
      <c r="B30" s="7">
        <v>20028</v>
      </c>
      <c r="C30" s="1" t="s">
        <v>5</v>
      </c>
      <c r="D30" s="1">
        <v>0</v>
      </c>
      <c r="E30" s="1" t="s">
        <v>6</v>
      </c>
      <c r="F30" s="1">
        <v>24</v>
      </c>
    </row>
    <row r="31" spans="1:6" x14ac:dyDescent="0.25">
      <c r="A31" s="7" t="s">
        <v>136</v>
      </c>
      <c r="B31" s="7">
        <v>20030</v>
      </c>
      <c r="C31" s="1" t="s">
        <v>5</v>
      </c>
      <c r="D31" s="1">
        <v>0</v>
      </c>
      <c r="E31" s="1" t="s">
        <v>6</v>
      </c>
      <c r="F31" s="1">
        <v>24</v>
      </c>
    </row>
    <row r="32" spans="1:6" x14ac:dyDescent="0.25">
      <c r="A32" s="7" t="s">
        <v>137</v>
      </c>
      <c r="B32" s="7">
        <v>20032</v>
      </c>
      <c r="C32" s="1" t="s">
        <v>5</v>
      </c>
      <c r="D32" s="1">
        <v>0</v>
      </c>
      <c r="E32" s="1" t="s">
        <v>6</v>
      </c>
      <c r="F32" s="1">
        <v>24</v>
      </c>
    </row>
    <row r="33" spans="1:6" x14ac:dyDescent="0.25">
      <c r="A33" s="7" t="s">
        <v>138</v>
      </c>
      <c r="B33" s="7">
        <v>20034</v>
      </c>
      <c r="C33" s="1" t="s">
        <v>5</v>
      </c>
      <c r="D33" s="1">
        <v>0</v>
      </c>
      <c r="E33" s="1" t="s">
        <v>6</v>
      </c>
      <c r="F33" s="1">
        <v>24</v>
      </c>
    </row>
    <row r="34" spans="1:6" x14ac:dyDescent="0.25">
      <c r="A34" s="7" t="s">
        <v>139</v>
      </c>
      <c r="B34" s="7">
        <v>20036</v>
      </c>
      <c r="C34" s="1" t="s">
        <v>5</v>
      </c>
      <c r="D34" s="1">
        <v>0</v>
      </c>
      <c r="E34" s="1" t="s">
        <v>6</v>
      </c>
      <c r="F34" s="1">
        <v>24</v>
      </c>
    </row>
    <row r="35" spans="1:6" x14ac:dyDescent="0.25">
      <c r="A35" s="7" t="s">
        <v>140</v>
      </c>
      <c r="B35" s="7">
        <v>20038</v>
      </c>
      <c r="C35" s="1" t="s">
        <v>5</v>
      </c>
      <c r="D35" s="1">
        <v>0</v>
      </c>
      <c r="E35" s="1" t="s">
        <v>6</v>
      </c>
      <c r="F35" s="1">
        <v>24</v>
      </c>
    </row>
    <row r="36" spans="1:6" x14ac:dyDescent="0.25">
      <c r="A36" s="7" t="s">
        <v>141</v>
      </c>
      <c r="B36" s="7">
        <v>20040</v>
      </c>
      <c r="C36" s="1" t="s">
        <v>5</v>
      </c>
      <c r="D36" s="1">
        <v>0</v>
      </c>
      <c r="E36" s="1" t="s">
        <v>6</v>
      </c>
      <c r="F36" s="1">
        <v>24</v>
      </c>
    </row>
    <row r="37" spans="1:6" x14ac:dyDescent="0.25">
      <c r="A37" s="7" t="s">
        <v>142</v>
      </c>
      <c r="B37" s="7">
        <v>20042</v>
      </c>
      <c r="C37" s="1" t="s">
        <v>5</v>
      </c>
      <c r="D37" s="1">
        <v>0</v>
      </c>
      <c r="E37" s="1" t="s">
        <v>6</v>
      </c>
      <c r="F37" s="1">
        <v>24</v>
      </c>
    </row>
    <row r="38" spans="1:6" x14ac:dyDescent="0.25">
      <c r="A38" s="7" t="s">
        <v>143</v>
      </c>
      <c r="B38" s="7">
        <v>20044</v>
      </c>
      <c r="C38" s="1" t="s">
        <v>5</v>
      </c>
      <c r="D38" s="1">
        <v>0</v>
      </c>
      <c r="E38" s="1" t="s">
        <v>6</v>
      </c>
      <c r="F38" s="1">
        <v>24</v>
      </c>
    </row>
    <row r="39" spans="1:6" x14ac:dyDescent="0.25">
      <c r="A39" s="7" t="s">
        <v>144</v>
      </c>
      <c r="B39" s="7">
        <v>20046</v>
      </c>
      <c r="C39" s="1" t="s">
        <v>5</v>
      </c>
      <c r="D39" s="1">
        <v>0</v>
      </c>
      <c r="E39" s="1" t="s">
        <v>6</v>
      </c>
      <c r="F39" s="1">
        <v>24</v>
      </c>
    </row>
    <row r="40" spans="1:6" x14ac:dyDescent="0.25">
      <c r="A40" s="7" t="s">
        <v>145</v>
      </c>
      <c r="B40" s="7">
        <v>20048</v>
      </c>
      <c r="C40" s="1" t="s">
        <v>5</v>
      </c>
      <c r="D40" s="1">
        <v>0</v>
      </c>
      <c r="E40" s="1" t="s">
        <v>6</v>
      </c>
      <c r="F40" s="1">
        <v>24</v>
      </c>
    </row>
    <row r="41" spans="1:6" x14ac:dyDescent="0.25">
      <c r="A41" s="7" t="s">
        <v>146</v>
      </c>
      <c r="B41" s="7">
        <v>20050</v>
      </c>
      <c r="C41" s="1" t="s">
        <v>5</v>
      </c>
      <c r="D41" s="1">
        <v>0</v>
      </c>
      <c r="E41" s="1" t="s">
        <v>6</v>
      </c>
      <c r="F41" s="1">
        <v>24</v>
      </c>
    </row>
    <row r="42" spans="1:6" x14ac:dyDescent="0.25">
      <c r="A42" s="7" t="s">
        <v>147</v>
      </c>
      <c r="B42" s="7">
        <v>20052</v>
      </c>
      <c r="C42" s="1" t="s">
        <v>5</v>
      </c>
      <c r="D42" s="1">
        <v>0</v>
      </c>
      <c r="E42" s="1" t="s">
        <v>6</v>
      </c>
      <c r="F42" s="1">
        <v>24</v>
      </c>
    </row>
    <row r="43" spans="1:6" x14ac:dyDescent="0.25">
      <c r="A43" s="7" t="s">
        <v>148</v>
      </c>
      <c r="B43" s="7">
        <v>20054</v>
      </c>
      <c r="C43" s="1" t="s">
        <v>5</v>
      </c>
      <c r="D43" s="1">
        <v>0</v>
      </c>
      <c r="E43" s="1" t="s">
        <v>6</v>
      </c>
      <c r="F43" s="1">
        <v>24</v>
      </c>
    </row>
    <row r="44" spans="1:6" x14ac:dyDescent="0.25">
      <c r="A44" s="7" t="s">
        <v>149</v>
      </c>
      <c r="B44" s="7">
        <v>20058</v>
      </c>
      <c r="C44" s="1" t="s">
        <v>5</v>
      </c>
      <c r="D44" s="1">
        <v>0</v>
      </c>
      <c r="E44" s="1" t="s">
        <v>6</v>
      </c>
      <c r="F44" s="1">
        <v>24</v>
      </c>
    </row>
    <row r="45" spans="1:6" x14ac:dyDescent="0.25">
      <c r="A45" s="7" t="s">
        <v>150</v>
      </c>
      <c r="B45" s="7">
        <v>20060</v>
      </c>
      <c r="C45" s="1" t="s">
        <v>5</v>
      </c>
      <c r="D45" s="1">
        <v>0</v>
      </c>
      <c r="E45" s="1" t="s">
        <v>6</v>
      </c>
      <c r="F45" s="1">
        <v>24</v>
      </c>
    </row>
    <row r="46" spans="1:6" x14ac:dyDescent="0.25">
      <c r="A46" s="7" t="s">
        <v>112</v>
      </c>
      <c r="B46" s="7">
        <v>21000</v>
      </c>
      <c r="C46" s="1" t="s">
        <v>5</v>
      </c>
      <c r="D46" s="1">
        <v>0</v>
      </c>
      <c r="E46" s="1" t="s">
        <v>6</v>
      </c>
      <c r="F46" s="1">
        <v>24</v>
      </c>
    </row>
    <row r="47" spans="1:6" x14ac:dyDescent="0.25">
      <c r="A47" s="7" t="s">
        <v>113</v>
      </c>
      <c r="B47" s="7">
        <v>21002</v>
      </c>
      <c r="C47" s="1" t="s">
        <v>5</v>
      </c>
      <c r="D47" s="1">
        <v>0</v>
      </c>
      <c r="E47" s="1" t="s">
        <v>6</v>
      </c>
      <c r="F47" s="1">
        <v>24</v>
      </c>
    </row>
    <row r="48" spans="1:6" x14ac:dyDescent="0.25">
      <c r="A48" s="7" t="s">
        <v>114</v>
      </c>
      <c r="B48" s="7">
        <v>21004</v>
      </c>
      <c r="C48" s="1" t="s">
        <v>5</v>
      </c>
      <c r="D48" s="1">
        <v>0</v>
      </c>
      <c r="E48" s="1" t="s">
        <v>6</v>
      </c>
      <c r="F48" s="1">
        <v>24</v>
      </c>
    </row>
    <row r="49" spans="1:6" x14ac:dyDescent="0.25">
      <c r="A49" s="7" t="s">
        <v>115</v>
      </c>
      <c r="B49" s="7">
        <v>21006</v>
      </c>
      <c r="C49" s="1" t="s">
        <v>5</v>
      </c>
      <c r="D49" s="1">
        <v>0</v>
      </c>
      <c r="E49" s="1" t="s">
        <v>6</v>
      </c>
      <c r="F49" s="1">
        <v>24</v>
      </c>
    </row>
    <row r="50" spans="1:6" x14ac:dyDescent="0.25">
      <c r="A50" s="7" t="s">
        <v>116</v>
      </c>
      <c r="B50" s="7">
        <v>21008</v>
      </c>
      <c r="C50" s="1" t="s">
        <v>5</v>
      </c>
      <c r="D50" s="1">
        <v>0</v>
      </c>
      <c r="E50" s="1" t="s">
        <v>6</v>
      </c>
      <c r="F50" s="1">
        <v>24</v>
      </c>
    </row>
    <row r="51" spans="1:6" x14ac:dyDescent="0.25">
      <c r="A51" s="7" t="s">
        <v>117</v>
      </c>
      <c r="B51" s="7">
        <v>21010</v>
      </c>
      <c r="C51" s="1" t="s">
        <v>5</v>
      </c>
      <c r="D51" s="1">
        <v>0</v>
      </c>
      <c r="E51" s="1" t="s">
        <v>6</v>
      </c>
      <c r="F51" s="1">
        <v>24</v>
      </c>
    </row>
    <row r="52" spans="1:6" x14ac:dyDescent="0.25">
      <c r="A52" s="7" t="s">
        <v>118</v>
      </c>
      <c r="B52" s="7">
        <v>21012</v>
      </c>
      <c r="C52" s="1" t="s">
        <v>5</v>
      </c>
      <c r="D52" s="1">
        <v>0</v>
      </c>
      <c r="E52" s="1" t="s">
        <v>6</v>
      </c>
      <c r="F52" s="1">
        <v>24</v>
      </c>
    </row>
    <row r="53" spans="1:6" x14ac:dyDescent="0.25">
      <c r="A53" s="7" t="s">
        <v>119</v>
      </c>
      <c r="B53" s="7">
        <v>21014</v>
      </c>
      <c r="C53" s="1" t="s">
        <v>5</v>
      </c>
      <c r="D53" s="1">
        <v>0</v>
      </c>
      <c r="E53" s="1" t="s">
        <v>6</v>
      </c>
      <c r="F53" s="1">
        <v>24</v>
      </c>
    </row>
    <row r="54" spans="1:6" x14ac:dyDescent="0.25">
      <c r="A54" s="8" t="s">
        <v>120</v>
      </c>
      <c r="B54" s="8">
        <v>21016</v>
      </c>
      <c r="C54" s="1" t="s">
        <v>5</v>
      </c>
      <c r="D54" s="1">
        <v>0</v>
      </c>
      <c r="E54" s="1" t="s">
        <v>6</v>
      </c>
      <c r="F54" s="1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I22"/>
  <sheetViews>
    <sheetView topLeftCell="A2" zoomScaleNormal="100" workbookViewId="0">
      <selection activeCell="J22" sqref="J2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9" ht="21" x14ac:dyDescent="0.35">
      <c r="A1" s="34" t="s">
        <v>85</v>
      </c>
      <c r="B1" s="33" t="s">
        <v>165</v>
      </c>
    </row>
    <row r="2" spans="1:9" ht="18.75" x14ac:dyDescent="0.3">
      <c r="B2" s="32" t="s">
        <v>164</v>
      </c>
    </row>
    <row r="5" spans="1:9" ht="15" x14ac:dyDescent="0.25">
      <c r="B5" s="1" t="s">
        <v>151</v>
      </c>
    </row>
    <row r="6" spans="1:9" ht="15" x14ac:dyDescent="0.25">
      <c r="A6" s="3" t="s">
        <v>53</v>
      </c>
      <c r="B6" s="1" t="s">
        <v>176</v>
      </c>
      <c r="C6" s="2" t="s">
        <v>177</v>
      </c>
    </row>
    <row r="7" spans="1:9" ht="15" x14ac:dyDescent="0.25">
      <c r="A7" s="3" t="s">
        <v>153</v>
      </c>
      <c r="B7" s="1" t="s">
        <v>178</v>
      </c>
    </row>
    <row r="8" spans="1:9" x14ac:dyDescent="0.2">
      <c r="B8" s="2" t="s">
        <v>179</v>
      </c>
      <c r="F8" s="2" t="s">
        <v>180</v>
      </c>
      <c r="I8" s="2" t="s">
        <v>181</v>
      </c>
    </row>
    <row r="10" spans="1:9" ht="23.25" x14ac:dyDescent="0.35">
      <c r="A10" s="15" t="s">
        <v>161</v>
      </c>
    </row>
    <row r="11" spans="1:9" ht="15" x14ac:dyDescent="0.25">
      <c r="A11" s="24" t="s">
        <v>86</v>
      </c>
      <c r="B11" s="14" t="s">
        <v>87</v>
      </c>
      <c r="C11" s="14" t="s">
        <v>88</v>
      </c>
    </row>
    <row r="12" spans="1:9" ht="15" x14ac:dyDescent="0.25">
      <c r="A12" s="24">
        <v>44927</v>
      </c>
      <c r="B12" s="14" t="s">
        <v>59</v>
      </c>
      <c r="C12" s="14">
        <v>200</v>
      </c>
    </row>
    <row r="13" spans="1:9" ht="15" x14ac:dyDescent="0.25">
      <c r="A13" s="24">
        <v>44928</v>
      </c>
      <c r="B13" s="14" t="s">
        <v>60</v>
      </c>
      <c r="C13" s="14">
        <v>20</v>
      </c>
    </row>
    <row r="14" spans="1:9" ht="15" x14ac:dyDescent="0.25">
      <c r="A14" s="24">
        <v>44929</v>
      </c>
      <c r="B14" s="14" t="s">
        <v>61</v>
      </c>
      <c r="C14" s="14">
        <v>50</v>
      </c>
    </row>
    <row r="15" spans="1:9" ht="15" x14ac:dyDescent="0.25">
      <c r="A15" s="24">
        <v>44930</v>
      </c>
      <c r="B15" s="14" t="s">
        <v>62</v>
      </c>
      <c r="C15" s="14">
        <v>20</v>
      </c>
    </row>
    <row r="16" spans="1:9" ht="15" x14ac:dyDescent="0.25">
      <c r="A16" s="24">
        <v>44931</v>
      </c>
      <c r="B16" s="14" t="s">
        <v>63</v>
      </c>
      <c r="C16" s="14">
        <v>10</v>
      </c>
    </row>
    <row r="17" spans="1:3" ht="15" x14ac:dyDescent="0.25">
      <c r="A17" s="24">
        <v>44932</v>
      </c>
      <c r="B17" s="14" t="s">
        <v>154</v>
      </c>
      <c r="C17" s="14">
        <v>150</v>
      </c>
    </row>
    <row r="18" spans="1:3" ht="15" x14ac:dyDescent="0.25">
      <c r="A18" s="24">
        <v>44933</v>
      </c>
      <c r="B18" s="14" t="s">
        <v>155</v>
      </c>
      <c r="C18" s="14">
        <v>80</v>
      </c>
    </row>
    <row r="19" spans="1:3" ht="15" x14ac:dyDescent="0.25">
      <c r="A19" s="24">
        <v>44934</v>
      </c>
      <c r="B19" s="14" t="s">
        <v>156</v>
      </c>
      <c r="C19" s="14">
        <v>20</v>
      </c>
    </row>
    <row r="20" spans="1:3" ht="15" x14ac:dyDescent="0.25">
      <c r="A20" s="24">
        <v>44935</v>
      </c>
      <c r="B20" s="14" t="s">
        <v>157</v>
      </c>
      <c r="C20" s="14">
        <v>30</v>
      </c>
    </row>
    <row r="21" spans="1:3" ht="15" x14ac:dyDescent="0.25">
      <c r="A21" s="24">
        <v>44936</v>
      </c>
      <c r="B21" s="14" t="s">
        <v>158</v>
      </c>
      <c r="C21" s="14">
        <v>20</v>
      </c>
    </row>
    <row r="22" spans="1:3" ht="15" x14ac:dyDescent="0.25">
      <c r="B22" s="14" t="s">
        <v>159</v>
      </c>
      <c r="C22" s="18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W36"/>
  <sheetViews>
    <sheetView tabSelected="1" topLeftCell="A3" zoomScaleNormal="100" workbookViewId="0">
      <selection activeCell="G27" sqref="G27"/>
    </sheetView>
  </sheetViews>
  <sheetFormatPr defaultColWidth="11" defaultRowHeight="12.75" x14ac:dyDescent="0.2"/>
  <cols>
    <col min="1" max="1" width="28.1640625" style="2" bestFit="1" customWidth="1"/>
    <col min="2" max="9" width="11.83203125" style="2" customWidth="1"/>
    <col min="10" max="13" width="11" style="2"/>
    <col min="14" max="14" width="11.83203125" style="2" customWidth="1"/>
    <col min="15" max="15" width="11" style="2"/>
    <col min="16" max="16" width="11.83203125" style="2" customWidth="1"/>
    <col min="17" max="16384" width="11" style="2"/>
  </cols>
  <sheetData>
    <row r="1" spans="1:23" ht="21" x14ac:dyDescent="0.35">
      <c r="A1" s="34" t="s">
        <v>98</v>
      </c>
      <c r="B1" s="33" t="s">
        <v>173</v>
      </c>
    </row>
    <row r="3" spans="1:23" ht="15" x14ac:dyDescent="0.25">
      <c r="B3" s="1" t="s">
        <v>151</v>
      </c>
    </row>
    <row r="4" spans="1:23" ht="18.75" x14ac:dyDescent="0.3">
      <c r="A4" s="35" t="s">
        <v>53</v>
      </c>
      <c r="B4" s="1"/>
      <c r="C4" s="2" t="s">
        <v>185</v>
      </c>
    </row>
    <row r="5" spans="1:23" ht="18.75" x14ac:dyDescent="0.3">
      <c r="A5" s="35" t="s">
        <v>153</v>
      </c>
      <c r="B5" s="1" t="s">
        <v>186</v>
      </c>
    </row>
    <row r="6" spans="1:23" ht="15" x14ac:dyDescent="0.25">
      <c r="A6" s="3"/>
      <c r="B6" s="1" t="s">
        <v>187</v>
      </c>
    </row>
    <row r="7" spans="1:23" x14ac:dyDescent="0.2">
      <c r="B7" s="2" t="s">
        <v>188</v>
      </c>
    </row>
    <row r="8" spans="1:23" ht="23.25" x14ac:dyDescent="0.35">
      <c r="A8" s="15" t="s">
        <v>161</v>
      </c>
      <c r="K8" s="15" t="s">
        <v>162</v>
      </c>
    </row>
    <row r="9" spans="1:23" ht="15" x14ac:dyDescent="0.25">
      <c r="A9" s="64"/>
      <c r="B9" s="64" t="s">
        <v>89</v>
      </c>
      <c r="C9" s="64" t="s">
        <v>91</v>
      </c>
      <c r="D9" s="64" t="s">
        <v>92</v>
      </c>
      <c r="E9" s="64" t="s">
        <v>93</v>
      </c>
      <c r="F9" s="64" t="s">
        <v>94</v>
      </c>
      <c r="G9" s="64" t="s">
        <v>95</v>
      </c>
      <c r="H9" s="64" t="s">
        <v>96</v>
      </c>
      <c r="I9" s="65" t="s">
        <v>97</v>
      </c>
      <c r="K9" s="47" t="s">
        <v>43</v>
      </c>
      <c r="L9" s="48" t="s">
        <v>99</v>
      </c>
      <c r="N9" s="58" t="s">
        <v>100</v>
      </c>
      <c r="O9" s="50" t="s">
        <v>182</v>
      </c>
      <c r="P9" s="54" t="s">
        <v>101</v>
      </c>
      <c r="Q9" s="2" t="s">
        <v>184</v>
      </c>
      <c r="R9" s="2" t="s">
        <v>183</v>
      </c>
      <c r="W9" s="2">
        <f>MATCH(O10,A10:A18,0)</f>
        <v>1</v>
      </c>
    </row>
    <row r="10" spans="1:23" ht="15" x14ac:dyDescent="0.25">
      <c r="A10" s="66" t="s">
        <v>89</v>
      </c>
      <c r="B10" s="67">
        <v>-1</v>
      </c>
      <c r="C10" s="67">
        <v>-1</v>
      </c>
      <c r="D10" s="67">
        <v>185</v>
      </c>
      <c r="E10" s="67">
        <v>255</v>
      </c>
      <c r="F10" s="67">
        <v>305</v>
      </c>
      <c r="G10" s="67">
        <v>415</v>
      </c>
      <c r="H10" s="67">
        <v>480</v>
      </c>
      <c r="I10" s="68"/>
      <c r="K10" s="46">
        <v>10100</v>
      </c>
      <c r="L10" s="7" t="s">
        <v>89</v>
      </c>
      <c r="N10" s="59">
        <v>10100</v>
      </c>
      <c r="O10" s="2" t="str">
        <f>_xlfn.XLOOKUP(N10,TableB[ID],TableB[Name],"N/A",0)</f>
        <v>A</v>
      </c>
      <c r="P10" s="55">
        <v>10102</v>
      </c>
      <c r="Q10" s="2" t="str">
        <f>_xlfn.XLOOKUP(P10,TableB[ID],TableB[Name],"N/A",0)</f>
        <v>B</v>
      </c>
      <c r="R10" s="2" t="e">
        <f>INDEX($B$10:$I$18,MATCH(TableD[[#This Row],[NAME]],$A$10:$A$18,0),MATCH(TableD[[#This Row],[NAME2]],$B$9:$I$9,0))</f>
        <v>#N/A</v>
      </c>
      <c r="W10" s="2">
        <f>MATCH(Q11,B9:I9,0)</f>
        <v>2</v>
      </c>
    </row>
    <row r="11" spans="1:23" ht="15" x14ac:dyDescent="0.25">
      <c r="A11" s="64" t="s">
        <v>90</v>
      </c>
      <c r="B11" s="69">
        <v>95</v>
      </c>
      <c r="C11" s="69">
        <v>-1</v>
      </c>
      <c r="D11" s="69">
        <v>90</v>
      </c>
      <c r="E11" s="69">
        <v>160</v>
      </c>
      <c r="F11" s="69">
        <v>210</v>
      </c>
      <c r="G11" s="69">
        <v>325</v>
      </c>
      <c r="H11" s="69">
        <v>390</v>
      </c>
      <c r="I11" s="70">
        <v>430</v>
      </c>
      <c r="K11" s="46">
        <v>10102</v>
      </c>
      <c r="L11" s="7" t="s">
        <v>90</v>
      </c>
      <c r="N11" s="60">
        <v>10100</v>
      </c>
      <c r="O11" s="2" t="str">
        <f>_xlfn.XLOOKUP(N11,TableB[ID],TableB[Name],"N/A",0)</f>
        <v>A</v>
      </c>
      <c r="P11" s="56">
        <v>10104</v>
      </c>
      <c r="Q11" s="2" t="str">
        <f>_xlfn.XLOOKUP(P11,TableB[ID],TableB[Name],"N/A",0)</f>
        <v>C</v>
      </c>
      <c r="R11" s="2">
        <f>INDEX($B$10:$I$18,MATCH(TableD[[#This Row],[NAME]],$A$10:$A$18,0),MATCH(TableD[[#This Row],[NAME2]],$B$9:$I$9,0))</f>
        <v>-1</v>
      </c>
      <c r="W11" s="2" cm="1">
        <f t="array" ref="W11">INDEX(B10:I18,W9,W10)</f>
        <v>-1</v>
      </c>
    </row>
    <row r="12" spans="1:23" ht="15" x14ac:dyDescent="0.25">
      <c r="A12" s="66" t="s">
        <v>91</v>
      </c>
      <c r="B12" s="67">
        <v>-1</v>
      </c>
      <c r="C12" s="67">
        <v>-1</v>
      </c>
      <c r="D12" s="67">
        <v>60</v>
      </c>
      <c r="E12" s="67">
        <v>130</v>
      </c>
      <c r="F12" s="67">
        <v>180</v>
      </c>
      <c r="G12" s="67">
        <v>295</v>
      </c>
      <c r="H12" s="67">
        <v>355</v>
      </c>
      <c r="I12" s="68">
        <v>400</v>
      </c>
      <c r="K12" s="46">
        <v>10104</v>
      </c>
      <c r="L12" s="7" t="s">
        <v>91</v>
      </c>
      <c r="N12" s="59">
        <v>10108</v>
      </c>
      <c r="O12" s="2" t="str">
        <f>_xlfn.XLOOKUP(N12,TableB[ID],TableB[Name],"N/A",0)</f>
        <v>E</v>
      </c>
      <c r="P12" s="55">
        <v>10102</v>
      </c>
      <c r="Q12" s="2" t="str">
        <f>_xlfn.XLOOKUP(P12,TableB[ID],TableB[Name],"N/A",0)</f>
        <v>B</v>
      </c>
      <c r="R12" s="2" t="e">
        <f>INDEX($B$10:$I$18,MATCH(TableD[[#This Row],[NAME]],$A$10:$A$18,0),MATCH(TableD[[#This Row],[NAME2]],$B$9:$I$9,0))</f>
        <v>#N/A</v>
      </c>
    </row>
    <row r="13" spans="1:23" ht="15" x14ac:dyDescent="0.25">
      <c r="A13" s="64" t="s">
        <v>92</v>
      </c>
      <c r="B13" s="69">
        <v>185</v>
      </c>
      <c r="C13" s="69">
        <v>60</v>
      </c>
      <c r="D13" s="69">
        <v>-1</v>
      </c>
      <c r="E13" s="69">
        <v>70</v>
      </c>
      <c r="F13" s="69">
        <v>120</v>
      </c>
      <c r="G13" s="69">
        <v>235</v>
      </c>
      <c r="H13" s="69">
        <v>300</v>
      </c>
      <c r="I13" s="70">
        <v>340</v>
      </c>
      <c r="K13" s="46">
        <v>10106</v>
      </c>
      <c r="L13" s="7" t="s">
        <v>92</v>
      </c>
      <c r="N13" s="60">
        <v>10100</v>
      </c>
      <c r="O13" s="2" t="str">
        <f>_xlfn.XLOOKUP(N13,TableB[ID],TableB[Name],"N/A",0)</f>
        <v>A</v>
      </c>
      <c r="P13" s="56">
        <v>10106</v>
      </c>
      <c r="Q13" s="2" t="str">
        <f>_xlfn.XLOOKUP(P13,TableB[ID],TableB[Name],"N/A",0)</f>
        <v>D</v>
      </c>
      <c r="R13" s="2">
        <f>INDEX($B$10:$I$18,MATCH(TableD[[#This Row],[NAME]],$A$10:$A$18,0),MATCH(TableD[[#This Row],[NAME2]],$B$9:$I$9,0))</f>
        <v>185</v>
      </c>
    </row>
    <row r="14" spans="1:23" ht="15" x14ac:dyDescent="0.25">
      <c r="A14" s="66" t="s">
        <v>93</v>
      </c>
      <c r="B14" s="67">
        <v>255</v>
      </c>
      <c r="C14" s="67">
        <v>130</v>
      </c>
      <c r="D14" s="67">
        <v>70</v>
      </c>
      <c r="E14" s="67">
        <v>-1</v>
      </c>
      <c r="F14" s="67">
        <v>50</v>
      </c>
      <c r="G14" s="67">
        <v>165</v>
      </c>
      <c r="H14" s="67">
        <v>230</v>
      </c>
      <c r="I14" s="68">
        <v>270</v>
      </c>
      <c r="K14" s="46">
        <v>10108</v>
      </c>
      <c r="L14" s="7" t="s">
        <v>93</v>
      </c>
      <c r="N14" s="59">
        <v>10108</v>
      </c>
      <c r="O14" s="2" t="str">
        <f>_xlfn.XLOOKUP(N14,TableB[ID],TableB[Name],"N/A",0)</f>
        <v>E</v>
      </c>
      <c r="P14" s="55">
        <v>10110</v>
      </c>
      <c r="Q14" s="2" t="str">
        <f>_xlfn.XLOOKUP(P14,TableB[ID],TableB[Name],"N/A",0)</f>
        <v>F</v>
      </c>
      <c r="R14" s="2">
        <f>INDEX($B$10:$I$18,MATCH(TableD[[#This Row],[NAME]],$A$10:$A$18,0),MATCH(TableD[[#This Row],[NAME2]],$B$9:$I$9,0))</f>
        <v>50</v>
      </c>
    </row>
    <row r="15" spans="1:23" ht="15" x14ac:dyDescent="0.25">
      <c r="A15" s="64" t="s">
        <v>94</v>
      </c>
      <c r="B15" s="69">
        <v>305</v>
      </c>
      <c r="C15" s="69">
        <v>180</v>
      </c>
      <c r="D15" s="69">
        <v>120</v>
      </c>
      <c r="E15" s="69">
        <v>50</v>
      </c>
      <c r="F15" s="69">
        <v>-1</v>
      </c>
      <c r="G15" s="69">
        <v>115</v>
      </c>
      <c r="H15" s="69">
        <v>180</v>
      </c>
      <c r="I15" s="70">
        <v>220</v>
      </c>
      <c r="K15" s="46">
        <v>10110</v>
      </c>
      <c r="L15" s="7" t="s">
        <v>94</v>
      </c>
      <c r="N15" s="60">
        <v>10102</v>
      </c>
      <c r="O15" s="2" t="str">
        <f>_xlfn.XLOOKUP(N15,TableB[ID],TableB[Name],"N/A",0)</f>
        <v>B</v>
      </c>
      <c r="P15" s="56">
        <v>10104</v>
      </c>
      <c r="Q15" s="2" t="str">
        <f>_xlfn.XLOOKUP(P15,TableB[ID],TableB[Name],"N/A",0)</f>
        <v>C</v>
      </c>
      <c r="R15" s="2">
        <f>INDEX($B$10:$I$18,MATCH(TableD[[#This Row],[NAME]],$A$10:$A$18,0),MATCH(TableD[[#This Row],[NAME2]],$B$9:$I$9,0))</f>
        <v>-1</v>
      </c>
    </row>
    <row r="16" spans="1:23" ht="15" x14ac:dyDescent="0.25">
      <c r="A16" s="66" t="s">
        <v>95</v>
      </c>
      <c r="B16" s="67">
        <v>415</v>
      </c>
      <c r="C16" s="67">
        <v>295</v>
      </c>
      <c r="D16" s="67">
        <v>235</v>
      </c>
      <c r="E16" s="67">
        <v>165</v>
      </c>
      <c r="F16" s="67">
        <v>115</v>
      </c>
      <c r="G16" s="67">
        <v>-1</v>
      </c>
      <c r="H16" s="67">
        <v>65</v>
      </c>
      <c r="I16" s="68">
        <v>105</v>
      </c>
      <c r="K16" s="46">
        <v>10112</v>
      </c>
      <c r="L16" s="7" t="s">
        <v>95</v>
      </c>
      <c r="N16" s="59">
        <v>10106</v>
      </c>
      <c r="O16" s="2" t="str">
        <f>_xlfn.XLOOKUP(N16,TableB[ID],TableB[Name],"N/A",0)</f>
        <v>D</v>
      </c>
      <c r="P16" s="55">
        <v>10108</v>
      </c>
      <c r="Q16" s="2" t="str">
        <f>_xlfn.XLOOKUP(P16,TableB[ID],TableB[Name],"N/A",0)</f>
        <v>E</v>
      </c>
      <c r="R16" s="2">
        <f>INDEX($B$10:$I$18,MATCH(TableD[[#This Row],[NAME]],$A$10:$A$18,0),MATCH(TableD[[#This Row],[NAME2]],$B$9:$I$9,0))</f>
        <v>70</v>
      </c>
    </row>
    <row r="17" spans="1:18" ht="15" x14ac:dyDescent="0.25">
      <c r="A17" s="64" t="s">
        <v>96</v>
      </c>
      <c r="B17" s="69">
        <v>480</v>
      </c>
      <c r="C17" s="69">
        <v>355</v>
      </c>
      <c r="D17" s="69">
        <v>300</v>
      </c>
      <c r="E17" s="69">
        <v>230</v>
      </c>
      <c r="F17" s="69">
        <v>180</v>
      </c>
      <c r="G17" s="69">
        <v>65</v>
      </c>
      <c r="H17" s="69">
        <v>-1</v>
      </c>
      <c r="I17" s="70">
        <v>40</v>
      </c>
      <c r="K17" s="46">
        <v>10114</v>
      </c>
      <c r="L17" s="7" t="s">
        <v>96</v>
      </c>
      <c r="N17" s="60">
        <v>10102</v>
      </c>
      <c r="O17" s="2" t="str">
        <f>_xlfn.XLOOKUP(N17,TableB[ID],TableB[Name],"N/A",0)</f>
        <v>B</v>
      </c>
      <c r="P17" s="56">
        <v>10106</v>
      </c>
      <c r="Q17" s="2" t="str">
        <f>_xlfn.XLOOKUP(P17,TableB[ID],TableB[Name],"N/A",0)</f>
        <v>D</v>
      </c>
      <c r="R17" s="2">
        <f>INDEX($B$10:$I$18,MATCH(TableD[[#This Row],[NAME]],$A$10:$A$18,0),MATCH(TableD[[#This Row],[NAME2]],$B$9:$I$9,0))</f>
        <v>90</v>
      </c>
    </row>
    <row r="18" spans="1:18" ht="15" x14ac:dyDescent="0.25">
      <c r="A18" s="71" t="s">
        <v>97</v>
      </c>
      <c r="B18" s="72">
        <v>525</v>
      </c>
      <c r="C18" s="72">
        <v>400</v>
      </c>
      <c r="D18" s="72">
        <v>340</v>
      </c>
      <c r="E18" s="72">
        <v>270</v>
      </c>
      <c r="F18" s="72">
        <v>220</v>
      </c>
      <c r="G18" s="72">
        <v>105</v>
      </c>
      <c r="H18" s="72">
        <v>40</v>
      </c>
      <c r="I18" s="73">
        <v>-1</v>
      </c>
      <c r="K18" s="46">
        <v>10116</v>
      </c>
      <c r="L18" s="7" t="s">
        <v>97</v>
      </c>
      <c r="N18" s="59">
        <v>10110</v>
      </c>
      <c r="O18" s="2" t="str">
        <f>_xlfn.XLOOKUP(N18,TableB[ID],TableB[Name],"N/A",0)</f>
        <v>F</v>
      </c>
      <c r="P18" s="55">
        <v>10114</v>
      </c>
      <c r="Q18" s="2" t="str">
        <f>_xlfn.XLOOKUP(P18,TableB[ID],TableB[Name],"N/A",0)</f>
        <v>H</v>
      </c>
      <c r="R18" s="2">
        <f>INDEX($B$10:$I$18,MATCH(TableD[[#This Row],[NAME]],$A$10:$A$18,0),MATCH(TableD[[#This Row],[NAME2]],$B$9:$I$9,0))</f>
        <v>180</v>
      </c>
    </row>
    <row r="19" spans="1:18" ht="15" x14ac:dyDescent="0.25">
      <c r="N19" s="60">
        <v>10104</v>
      </c>
      <c r="O19" s="2" t="str">
        <f>_xlfn.XLOOKUP(N19,TableB[ID],TableB[Name],"N/A",0)</f>
        <v>C</v>
      </c>
      <c r="P19" s="56">
        <v>10106</v>
      </c>
      <c r="Q19" s="2" t="str">
        <f>_xlfn.XLOOKUP(P19,TableB[ID],TableB[Name],"N/A",0)</f>
        <v>D</v>
      </c>
      <c r="R19" s="2">
        <f>INDEX($B$10:$I$18,MATCH(TableD[[#This Row],[NAME]],$A$10:$A$18,0),MATCH(TableD[[#This Row],[NAME2]],$B$9:$I$9,0))</f>
        <v>60</v>
      </c>
    </row>
    <row r="20" spans="1:18" ht="15" x14ac:dyDescent="0.25">
      <c r="N20" s="59">
        <v>10110</v>
      </c>
      <c r="O20" s="2" t="str">
        <f>_xlfn.XLOOKUP(N20,TableB[ID],TableB[Name],"N/A",0)</f>
        <v>F</v>
      </c>
      <c r="P20" s="55">
        <v>10112</v>
      </c>
      <c r="Q20" s="2" t="str">
        <f>_xlfn.XLOOKUP(P20,TableB[ID],TableB[Name],"N/A",0)</f>
        <v>G</v>
      </c>
      <c r="R20" s="2">
        <f>INDEX($B$10:$I$18,MATCH(TableD[[#This Row],[NAME]],$A$10:$A$18,0),MATCH(TableD[[#This Row],[NAME2]],$B$9:$I$9,0))</f>
        <v>115</v>
      </c>
    </row>
    <row r="21" spans="1:18" ht="23.25" x14ac:dyDescent="0.35">
      <c r="A21" s="15" t="s">
        <v>166</v>
      </c>
      <c r="N21" s="60">
        <v>10100</v>
      </c>
      <c r="O21" s="2" t="str">
        <f>_xlfn.XLOOKUP(N21,TableB[ID],TableB[Name],"N/A",0)</f>
        <v>A</v>
      </c>
      <c r="P21" s="56">
        <v>10114</v>
      </c>
      <c r="Q21" s="2" t="str">
        <f>_xlfn.XLOOKUP(P21,TableB[ID],TableB[Name],"N/A",0)</f>
        <v>H</v>
      </c>
      <c r="R21" s="2">
        <f>INDEX($B$10:$I$18,MATCH(TableD[[#This Row],[NAME]],$A$10:$A$18,0),MATCH(TableD[[#This Row],[NAME2]],$B$9:$I$9,0))</f>
        <v>480</v>
      </c>
    </row>
    <row r="22" spans="1:18" ht="15" x14ac:dyDescent="0.25">
      <c r="A22" s="2" t="s">
        <v>100</v>
      </c>
      <c r="B22" s="2" t="s">
        <v>182</v>
      </c>
      <c r="C22" s="2" t="s">
        <v>101</v>
      </c>
      <c r="D22" s="2" t="s">
        <v>184</v>
      </c>
      <c r="E22" s="74" t="s">
        <v>183</v>
      </c>
      <c r="N22" s="61">
        <v>10112</v>
      </c>
      <c r="O22" s="2" t="str">
        <f>_xlfn.XLOOKUP(N22,TableB[ID],TableB[Name],"N/A",0)</f>
        <v>G</v>
      </c>
      <c r="P22" s="57">
        <v>10116</v>
      </c>
      <c r="Q22" s="2" t="str">
        <f>_xlfn.XLOOKUP(P22,TableB[ID],TableB[Name],"N/A",0)</f>
        <v>I</v>
      </c>
      <c r="R22" s="2">
        <f>INDEX($B$10:$I$18,MATCH(TableD[[#This Row],[NAME]],$A$10:$A$18,0),MATCH(TableD[[#This Row],[NAME2]],$B$9:$I$9,0))</f>
        <v>105</v>
      </c>
    </row>
    <row r="23" spans="1:18" ht="15" x14ac:dyDescent="0.25">
      <c r="A23" s="51">
        <v>10100</v>
      </c>
      <c r="B23" s="62" t="str">
        <f>_xlfn.XLOOKUP(A23,TableB[ID],TableB[Name],"N/A",0)</f>
        <v>A</v>
      </c>
      <c r="C23" s="55">
        <v>10102</v>
      </c>
      <c r="D23" s="62" t="str">
        <f>_xlfn.XLOOKUP(C23,TableB[ID],TableB[Name],"N/A",0)</f>
        <v>B</v>
      </c>
      <c r="E23" s="75" t="e">
        <f>INDEX($B$10:$I$18,MATCH(TableC[[#This Row],[NAME]],$A$10:$A$18,0),MATCH(TableC[[#This Row],[NAME2]],$B$9:$I$9,0))</f>
        <v>#N/A</v>
      </c>
    </row>
    <row r="24" spans="1:18" ht="15" x14ac:dyDescent="0.25">
      <c r="A24" s="52">
        <v>10100</v>
      </c>
      <c r="B24" s="63" t="str">
        <f>_xlfn.XLOOKUP(A24,TableB[ID],TableB[Name],"N/A",0)</f>
        <v>A</v>
      </c>
      <c r="C24" s="56">
        <v>10104</v>
      </c>
      <c r="D24" s="63" t="str">
        <f>_xlfn.XLOOKUP(C24,TableB[ID],TableB[Name],"N/A",0)</f>
        <v>C</v>
      </c>
      <c r="E24" s="76">
        <f>INDEX($B$10:$I$18,MATCH(TableC[[#This Row],[NAME]],$A$10:$A$18,0),MATCH(TableC[[#This Row],[NAME2]],$B$9:$I$9,0))</f>
        <v>-1</v>
      </c>
    </row>
    <row r="25" spans="1:18" ht="15" x14ac:dyDescent="0.25">
      <c r="A25" s="51">
        <v>10108</v>
      </c>
      <c r="B25" s="62" t="str">
        <f>_xlfn.XLOOKUP(A25,TableB[ID],TableB[Name],"N/A",0)</f>
        <v>E</v>
      </c>
      <c r="C25" s="55">
        <v>10102</v>
      </c>
      <c r="D25" s="62" t="str">
        <f>_xlfn.XLOOKUP(C25,TableB[ID],TableB[Name],"N/A",0)</f>
        <v>B</v>
      </c>
      <c r="E25" s="75" t="e">
        <f>INDEX($B$10:$I$18,MATCH(TableC[[#This Row],[NAME]],$A$10:$A$18,0),MATCH(TableC[[#This Row],[NAME2]],$B$9:$I$9,0))</f>
        <v>#N/A</v>
      </c>
    </row>
    <row r="26" spans="1:18" ht="15" x14ac:dyDescent="0.25">
      <c r="A26" s="52">
        <v>10100</v>
      </c>
      <c r="B26" s="63" t="str">
        <f>_xlfn.XLOOKUP(A26,TableB[ID],TableB[Name],"N/A",0)</f>
        <v>A</v>
      </c>
      <c r="C26" s="56">
        <v>10106</v>
      </c>
      <c r="D26" s="63" t="str">
        <f>_xlfn.XLOOKUP(C26,TableB[ID],TableB[Name],"N/A",0)</f>
        <v>D</v>
      </c>
      <c r="E26" s="76">
        <f>INDEX($B$10:$I$18,MATCH(TableC[[#This Row],[NAME]],$A$10:$A$18,0),MATCH(TableC[[#This Row],[NAME2]],$B$9:$I$9,0))</f>
        <v>185</v>
      </c>
    </row>
    <row r="27" spans="1:18" ht="15" x14ac:dyDescent="0.25">
      <c r="A27" s="51">
        <v>10108</v>
      </c>
      <c r="B27" s="62" t="str">
        <f>_xlfn.XLOOKUP(A27,TableB[ID],TableB[Name],"N/A",0)</f>
        <v>E</v>
      </c>
      <c r="C27" s="55">
        <v>10110</v>
      </c>
      <c r="D27" s="62" t="str">
        <f>_xlfn.XLOOKUP(C27,TableB[ID],TableB[Name],"N/A",0)</f>
        <v>F</v>
      </c>
      <c r="E27" s="75">
        <f>INDEX($B$10:$I$18,MATCH(TableC[[#This Row],[NAME]],$A$10:$A$18,0),MATCH(TableC[[#This Row],[NAME2]],$B$9:$I$9,0))</f>
        <v>50</v>
      </c>
    </row>
    <row r="28" spans="1:18" ht="15" x14ac:dyDescent="0.25">
      <c r="A28" s="52">
        <v>10102</v>
      </c>
      <c r="B28" s="63" t="str">
        <f>_xlfn.XLOOKUP(A28,TableB[ID],TableB[Name],"N/A",0)</f>
        <v>B</v>
      </c>
      <c r="C28" s="56">
        <v>10104</v>
      </c>
      <c r="D28" s="63" t="str">
        <f>_xlfn.XLOOKUP(C28,TableB[ID],TableB[Name],"N/A",0)</f>
        <v>C</v>
      </c>
      <c r="E28" s="76">
        <f>INDEX($B$10:$I$18,MATCH(TableC[[#This Row],[NAME]],$A$10:$A$18,0),MATCH(TableC[[#This Row],[NAME2]],$B$9:$I$9,0))</f>
        <v>-1</v>
      </c>
    </row>
    <row r="29" spans="1:18" ht="15" x14ac:dyDescent="0.25">
      <c r="A29" s="51">
        <v>10106</v>
      </c>
      <c r="B29" s="62" t="str">
        <f>_xlfn.XLOOKUP(A29,TableB[ID],TableB[Name],"N/A",0)</f>
        <v>D</v>
      </c>
      <c r="C29" s="55">
        <v>10108</v>
      </c>
      <c r="D29" s="62" t="str">
        <f>_xlfn.XLOOKUP(C29,TableB[ID],TableB[Name],"N/A",0)</f>
        <v>E</v>
      </c>
      <c r="E29" s="75">
        <f>INDEX($B$10:$I$18,MATCH(TableC[[#This Row],[NAME]],$A$10:$A$18,0),MATCH(TableC[[#This Row],[NAME2]],$B$9:$I$9,0))</f>
        <v>70</v>
      </c>
    </row>
    <row r="30" spans="1:18" ht="15" x14ac:dyDescent="0.25">
      <c r="A30" s="52">
        <v>10102</v>
      </c>
      <c r="B30" s="63" t="str">
        <f>_xlfn.XLOOKUP(A30,TableB[ID],TableB[Name],"N/A",0)</f>
        <v>B</v>
      </c>
      <c r="C30" s="56">
        <v>10106</v>
      </c>
      <c r="D30" s="63" t="str">
        <f>_xlfn.XLOOKUP(C30,TableB[ID],TableB[Name],"N/A",0)</f>
        <v>D</v>
      </c>
      <c r="E30" s="76">
        <f>INDEX($B$10:$I$18,MATCH(TableC[[#This Row],[NAME]],$A$10:$A$18,0),MATCH(TableC[[#This Row],[NAME2]],$B$9:$I$9,0))</f>
        <v>90</v>
      </c>
    </row>
    <row r="31" spans="1:18" ht="15" x14ac:dyDescent="0.25">
      <c r="A31" s="51">
        <v>10110</v>
      </c>
      <c r="B31" s="62" t="str">
        <f>_xlfn.XLOOKUP(A31,TableB[ID],TableB[Name],"N/A",0)</f>
        <v>F</v>
      </c>
      <c r="C31" s="55">
        <v>10114</v>
      </c>
      <c r="D31" s="62" t="str">
        <f>_xlfn.XLOOKUP(C31,TableB[ID],TableB[Name],"N/A",0)</f>
        <v>H</v>
      </c>
      <c r="E31" s="75">
        <f>INDEX($B$10:$I$18,MATCH(TableC[[#This Row],[NAME]],$A$10:$A$18,0),MATCH(TableC[[#This Row],[NAME2]],$B$9:$I$9,0))</f>
        <v>180</v>
      </c>
    </row>
    <row r="32" spans="1:18" ht="15" x14ac:dyDescent="0.25">
      <c r="A32" s="52">
        <v>10104</v>
      </c>
      <c r="B32" s="63" t="str">
        <f>_xlfn.XLOOKUP(A32,TableB[ID],TableB[Name],"N/A",0)</f>
        <v>C</v>
      </c>
      <c r="C32" s="56">
        <v>10106</v>
      </c>
      <c r="D32" s="63" t="str">
        <f>_xlfn.XLOOKUP(C32,TableB[ID],TableB[Name],"N/A",0)</f>
        <v>D</v>
      </c>
      <c r="E32" s="76">
        <f>INDEX($B$10:$I$18,MATCH(TableC[[#This Row],[NAME]],$A$10:$A$18,0),MATCH(TableC[[#This Row],[NAME2]],$B$9:$I$9,0))</f>
        <v>60</v>
      </c>
    </row>
    <row r="33" spans="1:5" ht="15" x14ac:dyDescent="0.25">
      <c r="A33" s="51">
        <v>10110</v>
      </c>
      <c r="B33" s="62" t="str">
        <f>_xlfn.XLOOKUP(A33,TableB[ID],TableB[Name],"N/A",0)</f>
        <v>F</v>
      </c>
      <c r="C33" s="55">
        <v>10112</v>
      </c>
      <c r="D33" s="62" t="str">
        <f>_xlfn.XLOOKUP(C33,TableB[ID],TableB[Name],"N/A",0)</f>
        <v>G</v>
      </c>
      <c r="E33" s="75">
        <f>INDEX($B$10:$I$18,MATCH(TableC[[#This Row],[NAME]],$A$10:$A$18,0),MATCH(TableC[[#This Row],[NAME2]],$B$9:$I$9,0))</f>
        <v>115</v>
      </c>
    </row>
    <row r="34" spans="1:5" ht="15" x14ac:dyDescent="0.25">
      <c r="A34" s="52">
        <v>10100</v>
      </c>
      <c r="B34" s="63" t="str">
        <f>_xlfn.XLOOKUP(A34,TableB[ID],TableB[Name],"N/A",0)</f>
        <v>A</v>
      </c>
      <c r="C34" s="56">
        <v>10114</v>
      </c>
      <c r="D34" s="63" t="str">
        <f>_xlfn.XLOOKUP(C34,TableB[ID],TableB[Name],"N/A",0)</f>
        <v>H</v>
      </c>
      <c r="E34" s="76">
        <f>INDEX($B$10:$I$18,MATCH(TableC[[#This Row],[NAME]],$A$10:$A$18,0),MATCH(TableC[[#This Row],[NAME2]],$B$9:$I$9,0))</f>
        <v>480</v>
      </c>
    </row>
    <row r="35" spans="1:5" ht="15" x14ac:dyDescent="0.25">
      <c r="A35" s="53">
        <v>10112</v>
      </c>
      <c r="B35" s="62" t="str">
        <f>_xlfn.XLOOKUP(A35,TableB[ID],TableB[Name],"N/A",0)</f>
        <v>G</v>
      </c>
      <c r="C35" s="57">
        <v>10116</v>
      </c>
      <c r="D35" s="62" t="str">
        <f>_xlfn.XLOOKUP(C35,TableB[ID],TableB[Name],"N/A",0)</f>
        <v>I</v>
      </c>
      <c r="E35" s="75">
        <f>INDEX($B$10:$I$18,MATCH(TableC[[#This Row],[NAME]],$A$10:$A$18,0),MATCH(TableC[[#This Row],[NAME2]],$B$9:$I$9,0))</f>
        <v>105</v>
      </c>
    </row>
    <row r="36" spans="1:5" ht="15" x14ac:dyDescent="0.25">
      <c r="A36" s="38"/>
      <c r="B36" s="10"/>
      <c r="C36" s="49"/>
    </row>
  </sheetData>
  <phoneticPr fontId="21" type="noConversion"/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yogesh raj</cp:lastModifiedBy>
  <dcterms:created xsi:type="dcterms:W3CDTF">2015-02-10T17:33:11Z</dcterms:created>
  <dcterms:modified xsi:type="dcterms:W3CDTF">2023-12-11T08:45:04Z</dcterms:modified>
</cp:coreProperties>
</file>